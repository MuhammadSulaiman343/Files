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7FD46EF1-FFD0-44E2-A7D5-AE78C94C185A}" xr6:coauthVersionLast="47" xr6:coauthVersionMax="47" xr10:uidLastSave="{00000000-0000-0000-0000-000000000000}"/>
  <bookViews>
    <workbookView xWindow="-108" yWindow="-108" windowWidth="23256" windowHeight="12576" firstSheet="8" activeTab="8" xr2:uid="{00000000-000D-0000-FFFF-FFFF00000000}"/>
  </bookViews>
  <sheets>
    <sheet name="Currencies" sheetId="1" r:id="rId1"/>
    <sheet name="Rating Items" sheetId="2" r:id="rId2"/>
    <sheet name="Guideline Divisions" sheetId="19" r:id="rId3"/>
    <sheet name="Budget Pools" sheetId="31" r:id="rId4"/>
    <sheet name="Budget Pool Divisions" sheetId="44" r:id="rId5"/>
    <sheet name="Salary Structure Items" sheetId="30" r:id="rId6"/>
    <sheet name="Employee Information" sheetId="4" r:id="rId7"/>
    <sheet name="Employee Bonus Plans" sheetId="13" r:id="rId8"/>
    <sheet name="Employee LTI Plans" sheetId="15" r:id="rId9"/>
    <sheet name="Users" sheetId="45" r:id="rId10"/>
    <sheet name="Jobsss" sheetId="11" r:id="rId11"/>
    <sheet name="Jobs" sheetId="37" r:id="rId12"/>
    <sheet name="GL Enforce To Minimum" sheetId="25" r:id="rId13"/>
    <sheet name="GL Matrix" sheetId="20" r:id="rId14"/>
    <sheet name="GL First" sheetId="22" r:id="rId15"/>
    <sheet name="GL Second" sheetId="23" r:id="rId16"/>
    <sheet name="GL Third" sheetId="26" r:id="rId17"/>
    <sheet name="GL Forth" sheetId="24" r:id="rId18"/>
    <sheet name="ok" sheetId="38" r:id="rId19"/>
    <sheet name="Employee Earnings Refresh" sheetId="32" r:id="rId20"/>
    <sheet name="Employee Ratings" sheetId="36" r:id="rId21"/>
    <sheet name="Sheet4" sheetId="41" r:id="rId22"/>
    <sheet name="Sheet5" sheetId="42" r:id="rId23"/>
    <sheet name="Sheet6" sheetId="43" r:id="rId24"/>
    <sheet name="Employee Bonus Prepaid" sheetId="33" r:id="rId25"/>
    <sheet name="Employee Salary Actions" sheetId="34" r:id="rId26"/>
    <sheet name="Employee Salary Refresh" sheetId="35" r:id="rId27"/>
    <sheet name="Employee Bonus Plansok" sheetId="28" r:id="rId28"/>
    <sheet name="Employee Salary History" sheetId="10" r:id="rId29"/>
    <sheet name="Employee Bonus History" sheetId="14" r:id="rId30"/>
    <sheet name="Employee LTI History" sheetId="17" r:id="rId31"/>
    <sheet name="Usersvalid" sheetId="5" r:id="rId32"/>
    <sheet name="Usersxxx" sheetId="9" r:id="rId33"/>
    <sheet name="Sheet2" sheetId="40" r:id="rId34"/>
    <sheet name="TEST" sheetId="39" r:id="rId35"/>
  </sheets>
  <externalReferences>
    <externalReference r:id="rId36"/>
  </externalReferences>
  <definedNames>
    <definedName name="_xlnm._FilterDatabase" localSheetId="29" hidden="1">'Employee Bonus History'!$A$1:$P$140</definedName>
    <definedName name="_xlnm._FilterDatabase" localSheetId="7" hidden="1">'Employee Bonus Plans'!$B$1:$Z$66</definedName>
    <definedName name="_xlnm._FilterDatabase" localSheetId="6" hidden="1">'Employee Information'!$A$1:$AQ$65</definedName>
    <definedName name="_xlnm._FilterDatabase" localSheetId="30" hidden="1">'Employee LTI History'!$A$1:$K$74</definedName>
    <definedName name="mgr">'[1]Employee Information'!$A$2:$P$65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7" l="1"/>
  <c r="K5" i="17" s="1"/>
  <c r="J5" i="17" s="1"/>
  <c r="H4" i="17"/>
  <c r="K4" i="17" s="1"/>
  <c r="J4" i="17" s="1"/>
  <c r="H3" i="17"/>
  <c r="K3" i="17" s="1"/>
  <c r="J3" i="17" s="1"/>
  <c r="A5" i="14"/>
  <c r="I3" i="14"/>
  <c r="A3" i="14"/>
  <c r="J2" i="26"/>
  <c r="J3" i="26"/>
  <c r="J4" i="26"/>
  <c r="J5" i="26"/>
  <c r="J6" i="26"/>
  <c r="D2" i="26"/>
  <c r="E2" i="26"/>
  <c r="F2" i="26"/>
  <c r="G2" i="26"/>
  <c r="H2" i="26"/>
  <c r="I2" i="26"/>
  <c r="D3" i="26"/>
  <c r="E3" i="26"/>
  <c r="F3" i="26"/>
  <c r="G3" i="26"/>
  <c r="H3" i="26"/>
  <c r="I3" i="26"/>
  <c r="D4" i="26"/>
  <c r="E4" i="26"/>
  <c r="F4" i="26"/>
  <c r="G4" i="26"/>
  <c r="H4" i="26"/>
  <c r="I4" i="26"/>
  <c r="D5" i="26"/>
  <c r="E5" i="26"/>
  <c r="F5" i="26"/>
  <c r="G5" i="26"/>
  <c r="H5" i="26"/>
  <c r="I5" i="26"/>
  <c r="D6" i="26"/>
  <c r="E6" i="26"/>
  <c r="F6" i="26"/>
  <c r="G6" i="26"/>
  <c r="H6" i="26"/>
  <c r="I6" i="26"/>
  <c r="C3" i="26"/>
  <c r="C4" i="26"/>
  <c r="C5" i="26"/>
  <c r="C6" i="26"/>
  <c r="C2" i="26"/>
  <c r="D2" i="22"/>
  <c r="E2" i="22"/>
  <c r="F2" i="22"/>
  <c r="G2" i="22"/>
  <c r="G2" i="24" s="1"/>
  <c r="H2" i="22"/>
  <c r="H2" i="24" s="1"/>
  <c r="I2" i="22"/>
  <c r="I2" i="24" s="1"/>
  <c r="J2" i="22"/>
  <c r="J2" i="24" s="1"/>
  <c r="K2" i="24" s="1"/>
  <c r="L2" i="24" s="1"/>
  <c r="M2" i="24" s="1"/>
  <c r="N2" i="24" s="1"/>
  <c r="O2" i="24" s="1"/>
  <c r="P2" i="24" s="1"/>
  <c r="Q2" i="24" s="1"/>
  <c r="R2" i="24" s="1"/>
  <c r="S2" i="24" s="1"/>
  <c r="T2" i="24" s="1"/>
  <c r="D3" i="22"/>
  <c r="D3" i="24" s="1"/>
  <c r="E3" i="22"/>
  <c r="F3" i="22"/>
  <c r="G3" i="22"/>
  <c r="H3" i="22"/>
  <c r="H3" i="24" s="1"/>
  <c r="I3" i="22"/>
  <c r="I3" i="24" s="1"/>
  <c r="J3" i="22"/>
  <c r="J3" i="24" s="1"/>
  <c r="K3" i="24" s="1"/>
  <c r="L3" i="24" s="1"/>
  <c r="M3" i="24" s="1"/>
  <c r="N3" i="24" s="1"/>
  <c r="O3" i="24" s="1"/>
  <c r="P3" i="24" s="1"/>
  <c r="Q3" i="24" s="1"/>
  <c r="R3" i="24" s="1"/>
  <c r="S3" i="24" s="1"/>
  <c r="T3" i="24" s="1"/>
  <c r="D4" i="22"/>
  <c r="E4" i="22"/>
  <c r="F4" i="22"/>
  <c r="G4" i="22"/>
  <c r="H4" i="22"/>
  <c r="H4" i="24" s="1"/>
  <c r="I4" i="22"/>
  <c r="J4" i="22"/>
  <c r="J4" i="24" s="1"/>
  <c r="K4" i="24" s="1"/>
  <c r="L4" i="24" s="1"/>
  <c r="M4" i="24" s="1"/>
  <c r="N4" i="24" s="1"/>
  <c r="O4" i="24" s="1"/>
  <c r="P4" i="24" s="1"/>
  <c r="Q4" i="24" s="1"/>
  <c r="R4" i="24" s="1"/>
  <c r="S4" i="24" s="1"/>
  <c r="T4" i="24" s="1"/>
  <c r="D5" i="22"/>
  <c r="D5" i="24" s="1"/>
  <c r="E5" i="22"/>
  <c r="F5" i="22"/>
  <c r="F5" i="24" s="1"/>
  <c r="G5" i="22"/>
  <c r="H5" i="22"/>
  <c r="I5" i="22"/>
  <c r="J5" i="22"/>
  <c r="D6" i="22"/>
  <c r="D6" i="24" s="1"/>
  <c r="E6" i="22"/>
  <c r="F6" i="22"/>
  <c r="F6" i="24" s="1"/>
  <c r="G6" i="22"/>
  <c r="H6" i="22"/>
  <c r="I6" i="22"/>
  <c r="J6" i="22"/>
  <c r="J6" i="24" s="1"/>
  <c r="K6" i="24" s="1"/>
  <c r="L6" i="24" s="1"/>
  <c r="M6" i="24" s="1"/>
  <c r="N6" i="24" s="1"/>
  <c r="O6" i="24" s="1"/>
  <c r="P6" i="24" s="1"/>
  <c r="Q6" i="24" s="1"/>
  <c r="R6" i="24" s="1"/>
  <c r="S6" i="24" s="1"/>
  <c r="T6" i="24" s="1"/>
  <c r="C3" i="22"/>
  <c r="C3" i="24" s="1"/>
  <c r="C4" i="22"/>
  <c r="C5" i="22"/>
  <c r="C5" i="24" s="1"/>
  <c r="C6" i="22"/>
  <c r="C6" i="24" s="1"/>
  <c r="C2" i="22"/>
  <c r="D2" i="24"/>
  <c r="E2" i="24"/>
  <c r="F2" i="24"/>
  <c r="E3" i="24"/>
  <c r="F3" i="24"/>
  <c r="F4" i="24"/>
  <c r="H5" i="24"/>
  <c r="H6" i="24"/>
  <c r="C4" i="24"/>
  <c r="I5" i="24"/>
  <c r="H74" i="17"/>
  <c r="K74" i="17" s="1"/>
  <c r="J74" i="17" s="1"/>
  <c r="H73" i="17"/>
  <c r="K73" i="17" s="1"/>
  <c r="J73" i="17" s="1"/>
  <c r="H72" i="17"/>
  <c r="K72" i="17" s="1"/>
  <c r="J72" i="17" s="1"/>
  <c r="H71" i="17"/>
  <c r="K71" i="17" s="1"/>
  <c r="J71" i="17" s="1"/>
  <c r="H70" i="17"/>
  <c r="K70" i="17" s="1"/>
  <c r="J70" i="17" s="1"/>
  <c r="H69" i="17"/>
  <c r="K69" i="17" s="1"/>
  <c r="J69" i="17" s="1"/>
  <c r="H68" i="17"/>
  <c r="K68" i="17" s="1"/>
  <c r="J68" i="17" s="1"/>
  <c r="H67" i="17"/>
  <c r="K67" i="17" s="1"/>
  <c r="J67" i="17" s="1"/>
  <c r="H66" i="17"/>
  <c r="K66" i="17" s="1"/>
  <c r="J66" i="17" s="1"/>
  <c r="H65" i="17"/>
  <c r="K65" i="17" s="1"/>
  <c r="J65" i="17" s="1"/>
  <c r="H64" i="17"/>
  <c r="K64" i="17" s="1"/>
  <c r="J64" i="17" s="1"/>
  <c r="H63" i="17"/>
  <c r="K63" i="17" s="1"/>
  <c r="J63" i="17" s="1"/>
  <c r="H62" i="17"/>
  <c r="K62" i="17" s="1"/>
  <c r="J62" i="17" s="1"/>
  <c r="H61" i="17"/>
  <c r="K61" i="17" s="1"/>
  <c r="J61" i="17" s="1"/>
  <c r="H60" i="17"/>
  <c r="K60" i="17" s="1"/>
  <c r="J60" i="17" s="1"/>
  <c r="H59" i="17"/>
  <c r="K59" i="17" s="1"/>
  <c r="J59" i="17" s="1"/>
  <c r="H58" i="17"/>
  <c r="K58" i="17" s="1"/>
  <c r="J58" i="17" s="1"/>
  <c r="H57" i="17"/>
  <c r="K57" i="17" s="1"/>
  <c r="J57" i="17" s="1"/>
  <c r="H56" i="17"/>
  <c r="K56" i="17" s="1"/>
  <c r="J56" i="17" s="1"/>
  <c r="H55" i="17"/>
  <c r="K55" i="17" s="1"/>
  <c r="J55" i="17" s="1"/>
  <c r="H54" i="17"/>
  <c r="K54" i="17" s="1"/>
  <c r="J54" i="17" s="1"/>
  <c r="H53" i="17"/>
  <c r="K53" i="17" s="1"/>
  <c r="J53" i="17" s="1"/>
  <c r="H52" i="17"/>
  <c r="K52" i="17" s="1"/>
  <c r="J52" i="17" s="1"/>
  <c r="H51" i="17"/>
  <c r="K51" i="17" s="1"/>
  <c r="J51" i="17" s="1"/>
  <c r="H50" i="17"/>
  <c r="K50" i="17" s="1"/>
  <c r="J50" i="17" s="1"/>
  <c r="H49" i="17"/>
  <c r="K49" i="17" s="1"/>
  <c r="J49" i="17" s="1"/>
  <c r="H48" i="17"/>
  <c r="K48" i="17" s="1"/>
  <c r="J48" i="17" s="1"/>
  <c r="H47" i="17"/>
  <c r="K47" i="17" s="1"/>
  <c r="J47" i="17" s="1"/>
  <c r="H46" i="17"/>
  <c r="K46" i="17" s="1"/>
  <c r="J46" i="17" s="1"/>
  <c r="H45" i="17"/>
  <c r="K45" i="17" s="1"/>
  <c r="J45" i="17" s="1"/>
  <c r="H44" i="17"/>
  <c r="K44" i="17" s="1"/>
  <c r="J44" i="17" s="1"/>
  <c r="H43" i="17"/>
  <c r="K43" i="17" s="1"/>
  <c r="J43" i="17" s="1"/>
  <c r="H42" i="17"/>
  <c r="K42" i="17" s="1"/>
  <c r="J42" i="17" s="1"/>
  <c r="H41" i="17"/>
  <c r="K41" i="17" s="1"/>
  <c r="J41" i="17" s="1"/>
  <c r="H40" i="17"/>
  <c r="K40" i="17" s="1"/>
  <c r="J40" i="17" s="1"/>
  <c r="H39" i="17"/>
  <c r="K39" i="17" s="1"/>
  <c r="J39" i="17" s="1"/>
  <c r="H38" i="17"/>
  <c r="K38" i="17" s="1"/>
  <c r="J38" i="17" s="1"/>
  <c r="H37" i="17"/>
  <c r="K37" i="17" s="1"/>
  <c r="J37" i="17" s="1"/>
  <c r="H36" i="17"/>
  <c r="K36" i="17" s="1"/>
  <c r="J36" i="17" s="1"/>
  <c r="H35" i="17"/>
  <c r="K35" i="17" s="1"/>
  <c r="J35" i="17" s="1"/>
  <c r="H34" i="17"/>
  <c r="K34" i="17" s="1"/>
  <c r="J34" i="17" s="1"/>
  <c r="H33" i="17"/>
  <c r="K33" i="17" s="1"/>
  <c r="J33" i="17" s="1"/>
  <c r="H32" i="17"/>
  <c r="K32" i="17" s="1"/>
  <c r="J32" i="17" s="1"/>
  <c r="H31" i="17"/>
  <c r="K31" i="17" s="1"/>
  <c r="J31" i="17" s="1"/>
  <c r="H30" i="17"/>
  <c r="K30" i="17" s="1"/>
  <c r="J30" i="17" s="1"/>
  <c r="H29" i="17"/>
  <c r="K29" i="17" s="1"/>
  <c r="J29" i="17" s="1"/>
  <c r="H28" i="17"/>
  <c r="K28" i="17" s="1"/>
  <c r="J28" i="17" s="1"/>
  <c r="H27" i="17"/>
  <c r="K27" i="17" s="1"/>
  <c r="J27" i="17" s="1"/>
  <c r="H26" i="17"/>
  <c r="K26" i="17" s="1"/>
  <c r="J26" i="17" s="1"/>
  <c r="H25" i="17"/>
  <c r="K25" i="17" s="1"/>
  <c r="J25" i="17" s="1"/>
  <c r="H24" i="17"/>
  <c r="K24" i="17" s="1"/>
  <c r="J24" i="17" s="1"/>
  <c r="H23" i="17"/>
  <c r="K23" i="17" s="1"/>
  <c r="J23" i="17" s="1"/>
  <c r="H22" i="17"/>
  <c r="K22" i="17" s="1"/>
  <c r="J22" i="17" s="1"/>
  <c r="H21" i="17"/>
  <c r="K21" i="17" s="1"/>
  <c r="J21" i="17" s="1"/>
  <c r="H20" i="17"/>
  <c r="K20" i="17" s="1"/>
  <c r="J20" i="17" s="1"/>
  <c r="H19" i="17"/>
  <c r="K19" i="17" s="1"/>
  <c r="J19" i="17" s="1"/>
  <c r="H18" i="17"/>
  <c r="K18" i="17" s="1"/>
  <c r="J18" i="17" s="1"/>
  <c r="H17" i="17"/>
  <c r="K17" i="17" s="1"/>
  <c r="J17" i="17" s="1"/>
  <c r="H16" i="17"/>
  <c r="K16" i="17" s="1"/>
  <c r="J16" i="17" s="1"/>
  <c r="H15" i="17"/>
  <c r="K15" i="17" s="1"/>
  <c r="J15" i="17" s="1"/>
  <c r="H14" i="17"/>
  <c r="K14" i="17" s="1"/>
  <c r="J14" i="17" s="1"/>
  <c r="H13" i="17"/>
  <c r="K13" i="17" s="1"/>
  <c r="J13" i="17" s="1"/>
  <c r="H12" i="17"/>
  <c r="K12" i="17" s="1"/>
  <c r="J12" i="17" s="1"/>
  <c r="H11" i="17"/>
  <c r="K11" i="17" s="1"/>
  <c r="J11" i="17" s="1"/>
  <c r="H10" i="17"/>
  <c r="K10" i="17" s="1"/>
  <c r="J10" i="17" s="1"/>
  <c r="H9" i="17"/>
  <c r="K9" i="17" s="1"/>
  <c r="J9" i="17" s="1"/>
  <c r="H8" i="17"/>
  <c r="K8" i="17" s="1"/>
  <c r="J8" i="17" s="1"/>
  <c r="H7" i="17"/>
  <c r="K7" i="17" s="1"/>
  <c r="J7" i="17" s="1"/>
  <c r="H6" i="17"/>
  <c r="K6" i="17" s="1"/>
  <c r="J6" i="17" s="1"/>
  <c r="H2" i="17"/>
  <c r="K2" i="17" s="1"/>
  <c r="J2" i="17" s="1"/>
  <c r="I140" i="14"/>
  <c r="I138" i="14"/>
  <c r="I136" i="14"/>
  <c r="I134" i="14"/>
  <c r="I132" i="14"/>
  <c r="I130" i="14"/>
  <c r="I128" i="14"/>
  <c r="I126" i="14"/>
  <c r="I124" i="14"/>
  <c r="I122" i="14"/>
  <c r="I120" i="14"/>
  <c r="I118" i="14"/>
  <c r="I116" i="14"/>
  <c r="I114" i="14"/>
  <c r="I112" i="14"/>
  <c r="I110" i="14"/>
  <c r="I108" i="14"/>
  <c r="I106" i="14"/>
  <c r="I104" i="14"/>
  <c r="I102" i="14"/>
  <c r="I100" i="14"/>
  <c r="I98" i="14"/>
  <c r="I96" i="14"/>
  <c r="I94" i="14"/>
  <c r="I92" i="14"/>
  <c r="I90" i="14"/>
  <c r="I88" i="14"/>
  <c r="I86" i="14"/>
  <c r="I84" i="14"/>
  <c r="I82" i="14"/>
  <c r="I80" i="14"/>
  <c r="I78" i="14"/>
  <c r="I76" i="14"/>
  <c r="I74" i="14"/>
  <c r="I72" i="14"/>
  <c r="I70" i="14"/>
  <c r="I68" i="14"/>
  <c r="I66" i="14"/>
  <c r="I64" i="14"/>
  <c r="I62" i="14"/>
  <c r="I60" i="14"/>
  <c r="I58" i="14"/>
  <c r="I56" i="14"/>
  <c r="I54" i="14"/>
  <c r="I52" i="14"/>
  <c r="I50" i="14"/>
  <c r="I48" i="14"/>
  <c r="I46" i="14"/>
  <c r="I44" i="14"/>
  <c r="I42" i="14"/>
  <c r="I40" i="14"/>
  <c r="I38" i="14"/>
  <c r="I36" i="14"/>
  <c r="I34" i="14"/>
  <c r="I32" i="14"/>
  <c r="I30" i="14"/>
  <c r="I28" i="14"/>
  <c r="I26" i="14"/>
  <c r="I24" i="14"/>
  <c r="I22" i="14"/>
  <c r="I20" i="14"/>
  <c r="I18" i="14"/>
  <c r="I16" i="14"/>
  <c r="I14" i="14"/>
  <c r="I12" i="14"/>
  <c r="I10" i="14"/>
  <c r="I8" i="14"/>
  <c r="I6" i="14"/>
  <c r="I2" i="14"/>
  <c r="A4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2" i="14"/>
  <c r="G3" i="24" l="1"/>
  <c r="D4" i="24"/>
  <c r="J5" i="24"/>
  <c r="K5" i="24" s="1"/>
  <c r="L5" i="24" s="1"/>
  <c r="M5" i="24" s="1"/>
  <c r="N5" i="24" s="1"/>
  <c r="O5" i="24" s="1"/>
  <c r="P5" i="24" s="1"/>
  <c r="Q5" i="24" s="1"/>
  <c r="R5" i="24" s="1"/>
  <c r="S5" i="24" s="1"/>
  <c r="T5" i="24" s="1"/>
  <c r="G6" i="24"/>
  <c r="G4" i="24"/>
  <c r="G5" i="24"/>
  <c r="E6" i="24"/>
  <c r="I4" i="24"/>
  <c r="E4" i="24"/>
  <c r="E5" i="24"/>
  <c r="C2" i="24"/>
  <c r="E12" i="5"/>
  <c r="E11" i="5"/>
  <c r="E10" i="5"/>
  <c r="E9" i="5"/>
  <c r="E8" i="5"/>
  <c r="E7" i="5"/>
  <c r="E6" i="5"/>
  <c r="E5" i="5"/>
  <c r="E4" i="5"/>
  <c r="E3" i="5"/>
  <c r="E2" i="5"/>
  <c r="I6" i="24" l="1"/>
</calcChain>
</file>

<file path=xl/sharedStrings.xml><?xml version="1.0" encoding="utf-8"?>
<sst xmlns="http://schemas.openxmlformats.org/spreadsheetml/2006/main" count="9400" uniqueCount="1839">
  <si>
    <t>Currency Code</t>
  </si>
  <si>
    <t>Currency Name</t>
  </si>
  <si>
    <t>Rounding Method</t>
  </si>
  <si>
    <t>Exchange Currency Code</t>
  </si>
  <si>
    <t>Exchange Rate</t>
  </si>
  <si>
    <t>Exchange Eff Date</t>
  </si>
  <si>
    <t>USD</t>
  </si>
  <si>
    <t>US Dollar</t>
  </si>
  <si>
    <t>$</t>
  </si>
  <si>
    <t>CAD</t>
  </si>
  <si>
    <t>Canadian Dollar</t>
  </si>
  <si>
    <t>AUD</t>
  </si>
  <si>
    <t>Australian Dollar</t>
  </si>
  <si>
    <t>EUR</t>
  </si>
  <si>
    <t>Euro</t>
  </si>
  <si>
    <t>€</t>
  </si>
  <si>
    <t>BRL</t>
  </si>
  <si>
    <t>Brazilian Real</t>
  </si>
  <si>
    <t>R$</t>
  </si>
  <si>
    <t>IDR</t>
  </si>
  <si>
    <t>Indonesian Rupiah</t>
  </si>
  <si>
    <t>Rp</t>
  </si>
  <si>
    <t>AED</t>
  </si>
  <si>
    <t>U.A.E. Dirham</t>
  </si>
  <si>
    <t>د.إ</t>
  </si>
  <si>
    <t>GBP</t>
  </si>
  <si>
    <t>British Pound</t>
  </si>
  <si>
    <t>£</t>
  </si>
  <si>
    <t>Rating Alpha</t>
  </si>
  <si>
    <t>Rating</t>
  </si>
  <si>
    <t>Rating Group</t>
  </si>
  <si>
    <t>Distribution Pct</t>
  </si>
  <si>
    <t>Rating Name</t>
  </si>
  <si>
    <t>Guideline Name</t>
  </si>
  <si>
    <t>Guideline Div Name</t>
  </si>
  <si>
    <t>Guideline Div Seq</t>
  </si>
  <si>
    <t>Guideline Div Val</t>
  </si>
  <si>
    <t>Q1</t>
  </si>
  <si>
    <t>Q2</t>
  </si>
  <si>
    <t>Q3</t>
  </si>
  <si>
    <t>Q4</t>
  </si>
  <si>
    <t>First</t>
  </si>
  <si>
    <t xml:space="preserve">Second </t>
  </si>
  <si>
    <t>Second</t>
  </si>
  <si>
    <t>Third</t>
  </si>
  <si>
    <t>Forth</t>
  </si>
  <si>
    <t>Budget Pool Name</t>
  </si>
  <si>
    <t>Pct Based?</t>
  </si>
  <si>
    <t>Budget Pool Pct</t>
  </si>
  <si>
    <t>Holdback Pct</t>
  </si>
  <si>
    <t>Budget Pool Amount</t>
  </si>
  <si>
    <t>Holdback Pool Amount</t>
  </si>
  <si>
    <t>Spend Range Adj?</t>
  </si>
  <si>
    <t>Spend Merit?</t>
  </si>
  <si>
    <t>Spend Lump Sum?</t>
  </si>
  <si>
    <t>Spend Internal Equity?</t>
  </si>
  <si>
    <t>Spend Promo?</t>
  </si>
  <si>
    <t>Spend Market Adj?</t>
  </si>
  <si>
    <t>Spend Other?</t>
  </si>
  <si>
    <t>Spend Variable 1?</t>
  </si>
  <si>
    <t>Spend Variable 2?</t>
  </si>
  <si>
    <t>Tgt Plan?</t>
  </si>
  <si>
    <t>June Budget</t>
  </si>
  <si>
    <t>y</t>
  </si>
  <si>
    <t>yes</t>
  </si>
  <si>
    <t>n</t>
  </si>
  <si>
    <t xml:space="preserve">july Budget </t>
  </si>
  <si>
    <t xml:space="preserve">Auguest Budget </t>
  </si>
  <si>
    <t>September Budget</t>
  </si>
  <si>
    <t>oct Budget</t>
  </si>
  <si>
    <t>November Budget</t>
  </si>
  <si>
    <t>Pool Div Name</t>
  </si>
  <si>
    <t>Pool Div Pct</t>
  </si>
  <si>
    <t>Pool Div Merit</t>
  </si>
  <si>
    <t>Pool Div Merit Ls</t>
  </si>
  <si>
    <t>Pool Div Internal Equity</t>
  </si>
  <si>
    <t>Pool Div Promo</t>
  </si>
  <si>
    <t>Pool Div Market Adj</t>
  </si>
  <si>
    <t>Pool Div Other</t>
  </si>
  <si>
    <t>Pool Div Is Variable 1</t>
  </si>
  <si>
    <t>Pool Div Is Variable 2</t>
  </si>
  <si>
    <t>A</t>
  </si>
  <si>
    <t>B</t>
  </si>
  <si>
    <t>C</t>
  </si>
  <si>
    <t>D</t>
  </si>
  <si>
    <t>E</t>
  </si>
  <si>
    <t>F</t>
  </si>
  <si>
    <t>Structure Name</t>
  </si>
  <si>
    <t>Structure Region</t>
  </si>
  <si>
    <t>Salary Grade</t>
  </si>
  <si>
    <t>Salary Gradexx</t>
  </si>
  <si>
    <t>Structure Item</t>
  </si>
  <si>
    <t>Structure Min Amt</t>
  </si>
  <si>
    <t>Structure Mid Amt</t>
  </si>
  <si>
    <t>Structure Max Amt</t>
  </si>
  <si>
    <t>Structure seq</t>
  </si>
  <si>
    <t>Exempt US</t>
  </si>
  <si>
    <t>E06</t>
  </si>
  <si>
    <t>E08</t>
  </si>
  <si>
    <t>E10</t>
  </si>
  <si>
    <t>E12</t>
  </si>
  <si>
    <t>E14</t>
  </si>
  <si>
    <t>E16</t>
  </si>
  <si>
    <t>E18</t>
  </si>
  <si>
    <t>E20</t>
  </si>
  <si>
    <t>E22</t>
  </si>
  <si>
    <t>E24</t>
  </si>
  <si>
    <t>E26</t>
  </si>
  <si>
    <t>E28</t>
  </si>
  <si>
    <t>E30</t>
  </si>
  <si>
    <t>E32</t>
  </si>
  <si>
    <t>E34</t>
  </si>
  <si>
    <t>E36</t>
  </si>
  <si>
    <t>E38</t>
  </si>
  <si>
    <t>E40</t>
  </si>
  <si>
    <t>Exempt CAD</t>
  </si>
  <si>
    <t>E29</t>
  </si>
  <si>
    <t>Europe</t>
  </si>
  <si>
    <t>Exempt EUR</t>
  </si>
  <si>
    <t>Australian</t>
  </si>
  <si>
    <t>Exempt AUD</t>
  </si>
  <si>
    <t>Brazil</t>
  </si>
  <si>
    <t>Exempt BRL</t>
  </si>
  <si>
    <t>Indonesia</t>
  </si>
  <si>
    <t>Exempt IDR</t>
  </si>
  <si>
    <t>UAE</t>
  </si>
  <si>
    <t>Exempt AED</t>
  </si>
  <si>
    <t>E21</t>
  </si>
  <si>
    <t>Employee Id</t>
  </si>
  <si>
    <t>Emp Id</t>
  </si>
  <si>
    <t>Name</t>
  </si>
  <si>
    <t>Employee Name</t>
  </si>
  <si>
    <t>Job Title</t>
  </si>
  <si>
    <t>Job Family Name</t>
  </si>
  <si>
    <t>In HR?</t>
  </si>
  <si>
    <t>Language Preference</t>
  </si>
  <si>
    <t>Per Pay Type</t>
  </si>
  <si>
    <t>Per Pay Amt</t>
  </si>
  <si>
    <t>Emp Status</t>
  </si>
  <si>
    <t>Hire Date</t>
  </si>
  <si>
    <t>DOH</t>
  </si>
  <si>
    <t>Mgr Emp Id</t>
  </si>
  <si>
    <t>Manager ID</t>
  </si>
  <si>
    <t>Hair Color</t>
  </si>
  <si>
    <t>Manager Name</t>
  </si>
  <si>
    <t>Mgr Name</t>
  </si>
  <si>
    <t>HR Rep Emp Id</t>
  </si>
  <si>
    <t>HR Rep Name</t>
  </si>
  <si>
    <t>HR Area Rep Emp ID</t>
  </si>
  <si>
    <t>HR Area Rep Name</t>
  </si>
  <si>
    <t>Job Code</t>
  </si>
  <si>
    <t>Job Titlexxx</t>
  </si>
  <si>
    <t>Starting Salary Amt</t>
  </si>
  <si>
    <t>Current Annual Salary</t>
  </si>
  <si>
    <t>Prior Rating Alpha</t>
  </si>
  <si>
    <t>Min Amt</t>
  </si>
  <si>
    <t>Mid Amt</t>
  </si>
  <si>
    <t>Max Amt</t>
  </si>
  <si>
    <t>Position in Range</t>
  </si>
  <si>
    <t>Range Penetration Label</t>
  </si>
  <si>
    <t>Variable 1 Basis</t>
  </si>
  <si>
    <t>Cur Variable 1 Tgt Val</t>
  </si>
  <si>
    <t>Variable 2 Basis</t>
  </si>
  <si>
    <t>Cur Variable 2 Tgt Val</t>
  </si>
  <si>
    <t>Hours Baseline</t>
  </si>
  <si>
    <t>Hours Worked</t>
  </si>
  <si>
    <t>Is Meeting Expectations</t>
  </si>
  <si>
    <t>Grimm, Briañ</t>
  </si>
  <si>
    <t>Certified Doc Aide</t>
  </si>
  <si>
    <t>Accounting!</t>
  </si>
  <si>
    <t>Annually</t>
  </si>
  <si>
    <t>Active</t>
  </si>
  <si>
    <t>Blond</t>
  </si>
  <si>
    <t>Ward Jr Lloyd</t>
  </si>
  <si>
    <t>Jackson, Charmain</t>
  </si>
  <si>
    <t>J001</t>
  </si>
  <si>
    <t>Programmer</t>
  </si>
  <si>
    <t>Good</t>
  </si>
  <si>
    <t>Stage meeting</t>
  </si>
  <si>
    <t>Janish  Betty</t>
  </si>
  <si>
    <t>Certified  Nurse Aide</t>
  </si>
  <si>
    <t>Operations@</t>
  </si>
  <si>
    <t>Annually (1yr)</t>
  </si>
  <si>
    <t>Brown</t>
  </si>
  <si>
    <t>J002</t>
  </si>
  <si>
    <t>Keeling, Larry</t>
  </si>
  <si>
    <t>LVN</t>
  </si>
  <si>
    <t>Operations#</t>
  </si>
  <si>
    <t>Monthly (12)</t>
  </si>
  <si>
    <t>Grey</t>
  </si>
  <si>
    <t>J003</t>
  </si>
  <si>
    <t>Krendick, Jasoñ</t>
  </si>
  <si>
    <t>RN</t>
  </si>
  <si>
    <t>Operations$</t>
  </si>
  <si>
    <t>Monthly</t>
  </si>
  <si>
    <t>Red</t>
  </si>
  <si>
    <t>J004</t>
  </si>
  <si>
    <t>Leonard David</t>
  </si>
  <si>
    <t>A/P Specialist</t>
  </si>
  <si>
    <t>Accounting%</t>
  </si>
  <si>
    <t>Hourly Basis</t>
  </si>
  <si>
    <t>J005</t>
  </si>
  <si>
    <t>Poor</t>
  </si>
  <si>
    <t>McFadden, Sarah</t>
  </si>
  <si>
    <t>A/R Specialist-Billing</t>
  </si>
  <si>
    <t>Accounting^</t>
  </si>
  <si>
    <t>T</t>
  </si>
  <si>
    <t>Hourly</t>
  </si>
  <si>
    <t>Black</t>
  </si>
  <si>
    <t>J006</t>
  </si>
  <si>
    <t>Munshausen, Bruce</t>
  </si>
  <si>
    <t>HR  Coordinator&amp;</t>
  </si>
  <si>
    <t>Human\ Resources&amp;</t>
  </si>
  <si>
    <t>t</t>
  </si>
  <si>
    <t>Monthly (13)</t>
  </si>
  <si>
    <t>J007</t>
  </si>
  <si>
    <t>PNL meeting</t>
  </si>
  <si>
    <t>Nelson III, Shawn</t>
  </si>
  <si>
    <t>HR Coordinator/AA</t>
  </si>
  <si>
    <t>Human Resources*</t>
  </si>
  <si>
    <t>13 Months</t>
  </si>
  <si>
    <t>J008</t>
  </si>
  <si>
    <t>Thompson, Glenn</t>
  </si>
  <si>
    <t>P/R Specialist</t>
  </si>
  <si>
    <t>Operations(</t>
  </si>
  <si>
    <t>Weekly</t>
  </si>
  <si>
    <t>s</t>
  </si>
  <si>
    <t>J009</t>
  </si>
  <si>
    <t>Superior</t>
  </si>
  <si>
    <t>Van Buskirk, Briañ</t>
  </si>
  <si>
    <t>Administrative Assistant I</t>
  </si>
  <si>
    <t>Administration)</t>
  </si>
  <si>
    <t>Quaterly</t>
  </si>
  <si>
    <t>J010</t>
  </si>
  <si>
    <t>Exceptional</t>
  </si>
  <si>
    <t>Waguespack, Briañ</t>
  </si>
  <si>
    <t>Administrative Assistant III_</t>
  </si>
  <si>
    <t>Administration_</t>
  </si>
  <si>
    <t>Half Year</t>
  </si>
  <si>
    <t>J011</t>
  </si>
  <si>
    <t>Yokay, James</t>
  </si>
  <si>
    <t>Director of Nursing-</t>
  </si>
  <si>
    <t>Operations-</t>
  </si>
  <si>
    <t>ON</t>
  </si>
  <si>
    <t>Asif Nawaz</t>
  </si>
  <si>
    <t>J012</t>
  </si>
  <si>
    <t>Atkinson, Tracey</t>
  </si>
  <si>
    <t>Technology+</t>
  </si>
  <si>
    <t>White</t>
  </si>
  <si>
    <t>Davis Beverly</t>
  </si>
  <si>
    <t>J013</t>
  </si>
  <si>
    <t>Certified Nurse Aide</t>
  </si>
  <si>
    <t>Qasand meeting</t>
  </si>
  <si>
    <t>Bonamy, James</t>
  </si>
  <si>
    <t>Accountant</t>
  </si>
  <si>
    <t>Accounting=</t>
  </si>
  <si>
    <t>on</t>
  </si>
  <si>
    <t>J014</t>
  </si>
  <si>
    <t>Sales/Marketing Manager</t>
  </si>
  <si>
    <t xml:space="preserve"> </t>
  </si>
  <si>
    <t>Needs Improvement</t>
  </si>
  <si>
    <t>Brooks, Wendy</t>
  </si>
  <si>
    <t>Bookkeeper</t>
  </si>
  <si>
    <t>Accounting{</t>
  </si>
  <si>
    <t>J015</t>
  </si>
  <si>
    <t>Brown, Leann</t>
  </si>
  <si>
    <t>Development Manager</t>
  </si>
  <si>
    <t>Technology}</t>
  </si>
  <si>
    <t>J016</t>
  </si>
  <si>
    <t>Craven, Liz</t>
  </si>
  <si>
    <t>Executive Administrative Assistant</t>
  </si>
  <si>
    <t>Administration[</t>
  </si>
  <si>
    <t>J017</t>
  </si>
  <si>
    <t>Galvan, Dina</t>
  </si>
  <si>
    <t>Project Manager</t>
  </si>
  <si>
    <t>Operations]</t>
  </si>
  <si>
    <t>J018</t>
  </si>
  <si>
    <t>Harrison, Cindy</t>
  </si>
  <si>
    <t>Sr. Accountant</t>
  </si>
  <si>
    <t>Accounting|</t>
  </si>
  <si>
    <t>J019</t>
  </si>
  <si>
    <t>Henshaw, Candice</t>
  </si>
  <si>
    <t>Human Resource Manager</t>
  </si>
  <si>
    <t>Human Resources\</t>
  </si>
  <si>
    <t>J020</t>
  </si>
  <si>
    <t>Marketing :</t>
  </si>
  <si>
    <t>YES</t>
  </si>
  <si>
    <t>J021</t>
  </si>
  <si>
    <t>HR Coordinator</t>
  </si>
  <si>
    <t>mikeco staf meeting</t>
  </si>
  <si>
    <t>Mathers, Paula</t>
  </si>
  <si>
    <t>IT Manager</t>
  </si>
  <si>
    <t>Technology ;</t>
  </si>
  <si>
    <t>J022</t>
  </si>
  <si>
    <t>Mott, Michael</t>
  </si>
  <si>
    <t>Controller'</t>
  </si>
  <si>
    <t>Accounting '</t>
  </si>
  <si>
    <t>J023</t>
  </si>
  <si>
    <t>Napier, Alex</t>
  </si>
  <si>
    <t>Director of HR</t>
  </si>
  <si>
    <t>Human Resources "</t>
  </si>
  <si>
    <t>J024</t>
  </si>
  <si>
    <t>Rames, Bill</t>
  </si>
  <si>
    <t>Director of Operations</t>
  </si>
  <si>
    <t>Operations &lt;</t>
  </si>
  <si>
    <t>J025</t>
  </si>
  <si>
    <t>Risner, Elizabeth</t>
  </si>
  <si>
    <t>Director of Operations,</t>
  </si>
  <si>
    <t>Accounting,</t>
  </si>
  <si>
    <t>J026</t>
  </si>
  <si>
    <t>Rogers, Mary</t>
  </si>
  <si>
    <t>Technology&gt;</t>
  </si>
  <si>
    <t>N</t>
  </si>
  <si>
    <t>J027</t>
  </si>
  <si>
    <t>Director of Nursing</t>
  </si>
  <si>
    <t>White, Gordon</t>
  </si>
  <si>
    <t>Operations?</t>
  </si>
  <si>
    <t>J028</t>
  </si>
  <si>
    <t>production staf</t>
  </si>
  <si>
    <t>Davis, Beverly</t>
  </si>
  <si>
    <t>Director of Operations/</t>
  </si>
  <si>
    <t>Operations /</t>
  </si>
  <si>
    <t>Sherman Jack</t>
  </si>
  <si>
    <t>J029</t>
  </si>
  <si>
    <t>Thompson, Calvin</t>
  </si>
  <si>
    <t>BOD</t>
  </si>
  <si>
    <t>President/CEO</t>
  </si>
  <si>
    <t>Masters, Sarah</t>
  </si>
  <si>
    <t>Duncan Sam</t>
  </si>
  <si>
    <t>Ramsey, Richele</t>
  </si>
  <si>
    <t>NO</t>
  </si>
  <si>
    <t>Ross, Michael</t>
  </si>
  <si>
    <t>Hinze, Drea</t>
  </si>
  <si>
    <t>Masters Sarah</t>
  </si>
  <si>
    <t>Jackson, Leah</t>
  </si>
  <si>
    <t>no</t>
  </si>
  <si>
    <t>Kirklan, Richard</t>
  </si>
  <si>
    <t>Mills, Gavin</t>
  </si>
  <si>
    <t>Perez, Leila</t>
  </si>
  <si>
    <t>OFF</t>
  </si>
  <si>
    <t>Sanders, Lynn</t>
  </si>
  <si>
    <t>Tanya, Field</t>
  </si>
  <si>
    <t>Tso, Ann</t>
  </si>
  <si>
    <t>off</t>
  </si>
  <si>
    <t>Ungaba, Naomi</t>
  </si>
  <si>
    <t>Weddle, Valoria</t>
  </si>
  <si>
    <t>Ramos, Amy</t>
  </si>
  <si>
    <t>Montana Joe</t>
  </si>
  <si>
    <t>Soles, Nedra</t>
  </si>
  <si>
    <t>Controller</t>
  </si>
  <si>
    <t>Duncan, Sam</t>
  </si>
  <si>
    <t>Resendez, MiMi</t>
  </si>
  <si>
    <t>f</t>
  </si>
  <si>
    <t>Administrative Assistant</t>
  </si>
  <si>
    <t>Tucker, Darla</t>
  </si>
  <si>
    <t>Anderson, Ann</t>
  </si>
  <si>
    <t>French</t>
  </si>
  <si>
    <t>Soles Nedra</t>
  </si>
  <si>
    <t>Bishop, Julie</t>
  </si>
  <si>
    <t>Burke, Mia</t>
  </si>
  <si>
    <t>Carillo, Frank</t>
  </si>
  <si>
    <t>Y</t>
  </si>
  <si>
    <t>Carter, Frank</t>
  </si>
  <si>
    <t>Pope, Ian</t>
  </si>
  <si>
    <t>Butler, Cathy</t>
  </si>
  <si>
    <t>Thompson Calvin</t>
  </si>
  <si>
    <t>Montana, Joe</t>
  </si>
  <si>
    <t>FALSE'</t>
  </si>
  <si>
    <t>CFO/ Senior VP Finance</t>
  </si>
  <si>
    <t>Sherman, Jack</t>
  </si>
  <si>
    <t>FALSE@</t>
  </si>
  <si>
    <t>Executive VP of Operations</t>
  </si>
  <si>
    <t>Burke, Michelle</t>
  </si>
  <si>
    <t>Tucker Darla</t>
  </si>
  <si>
    <t>Sampson, DeDe</t>
  </si>
  <si>
    <t>Citrus, Susan</t>
  </si>
  <si>
    <t>%$</t>
  </si>
  <si>
    <t>Tea Green</t>
  </si>
  <si>
    <t>Flavors, Natural</t>
  </si>
  <si>
    <t>g</t>
  </si>
  <si>
    <t>Tompkins, Brian</t>
  </si>
  <si>
    <t>Ward Jr, Lloyd</t>
  </si>
  <si>
    <t>Tea, Green</t>
  </si>
  <si>
    <t>CIO/ Senior VP Information Technology</t>
  </si>
  <si>
    <t>Suleman, Muhammad</t>
  </si>
  <si>
    <t>Bonus Plan Name</t>
  </si>
  <si>
    <t>Prorated Bonus Mult Pct</t>
  </si>
  <si>
    <t>Plan Mgr Emp Id</t>
  </si>
  <si>
    <t>Plan Mgr Emp Name</t>
  </si>
  <si>
    <t>Salary</t>
  </si>
  <si>
    <t>Eligible Earnings</t>
  </si>
  <si>
    <t>Base Amount</t>
  </si>
  <si>
    <t>Bonus Calc Base Amt</t>
  </si>
  <si>
    <t>Bonus From Date</t>
  </si>
  <si>
    <t>Bonus To Date</t>
  </si>
  <si>
    <t>Proration %</t>
  </si>
  <si>
    <t>Bonus Target</t>
  </si>
  <si>
    <t>Tgt Opp Pct</t>
  </si>
  <si>
    <t>Target %</t>
  </si>
  <si>
    <t>Tgt Opp Amt</t>
  </si>
  <si>
    <t>Bonus Guar Min Amt</t>
  </si>
  <si>
    <t>Bonus Guideline Min Amt</t>
  </si>
  <si>
    <t>Bonus Guideline Tgt Amt</t>
  </si>
  <si>
    <t>Bonus Guideline Max Amt</t>
  </si>
  <si>
    <t>Prepaid Amt</t>
  </si>
  <si>
    <t>Aziz Hair color</t>
  </si>
  <si>
    <t>Bonus User Def 1 Amt</t>
  </si>
  <si>
    <t>B1</t>
  </si>
  <si>
    <t>Software engineer/XXXX</t>
  </si>
  <si>
    <t>Janish, Betty</t>
  </si>
  <si>
    <t>Krendick Jasoñ</t>
  </si>
  <si>
    <t>Leonard, David</t>
  </si>
  <si>
    <t>QA/xx</t>
  </si>
  <si>
    <t>test</t>
  </si>
  <si>
    <t>ok</t>
  </si>
  <si>
    <t>"50"</t>
  </si>
  <si>
    <t>Accountant/xxx</t>
  </si>
  <si>
    <t>Brown'</t>
  </si>
  <si>
    <t>"Gray"</t>
  </si>
  <si>
    <t>Blue*</t>
  </si>
  <si>
    <t>Blue</t>
  </si>
  <si>
    <t>Prorated LTI Mult Pct</t>
  </si>
  <si>
    <t>LTI Plan Name</t>
  </si>
  <si>
    <t>LTI Base Amt</t>
  </si>
  <si>
    <t>LTI From Date</t>
  </si>
  <si>
    <t>LTI To Date</t>
  </si>
  <si>
    <t>Tgt LTI Opp Pct</t>
  </si>
  <si>
    <t>LTI Target</t>
  </si>
  <si>
    <t>Tgt LTI Opp Amt</t>
  </si>
  <si>
    <t>LTI Guaranteed Minimum Amt</t>
  </si>
  <si>
    <t>Prior Grant Shares</t>
  </si>
  <si>
    <t>Prior Grant Value</t>
  </si>
  <si>
    <t>Bag Color</t>
  </si>
  <si>
    <t>Bag No</t>
  </si>
  <si>
    <t>Shoes Collection</t>
  </si>
  <si>
    <t>Hair color</t>
  </si>
  <si>
    <t>Sapphire</t>
  </si>
  <si>
    <t>LTI Guideline Tgt Amt</t>
  </si>
  <si>
    <t>LTI Guideline Min AmtX</t>
  </si>
  <si>
    <t>LTI Guideline Max AmtX</t>
  </si>
  <si>
    <t>L1</t>
  </si>
  <si>
    <t>Bata shoes</t>
  </si>
  <si>
    <t>summer collection</t>
  </si>
  <si>
    <t>ECS shoes</t>
  </si>
  <si>
    <t>off white</t>
  </si>
  <si>
    <t>ss</t>
  </si>
  <si>
    <t>Service shoes</t>
  </si>
  <si>
    <t>Heels shoes</t>
  </si>
  <si>
    <t>winter collection</t>
  </si>
  <si>
    <t>Bridal dress</t>
  </si>
  <si>
    <t>stylo</t>
  </si>
  <si>
    <t>ok'</t>
  </si>
  <si>
    <t>User Name First</t>
  </si>
  <si>
    <t>User Name Last</t>
  </si>
  <si>
    <t>User Type</t>
  </si>
  <si>
    <t>User Principal Name</t>
  </si>
  <si>
    <t>Login Id</t>
  </si>
  <si>
    <t>Email Address</t>
  </si>
  <si>
    <t>User Password</t>
  </si>
  <si>
    <t>User Time Zone</t>
  </si>
  <si>
    <t>Beverly</t>
  </si>
  <si>
    <t>Davis</t>
  </si>
  <si>
    <t>Employee</t>
  </si>
  <si>
    <t>bdavis@dartican.com</t>
  </si>
  <si>
    <t>bdavis</t>
  </si>
  <si>
    <t>open</t>
  </si>
  <si>
    <t>Calvin</t>
  </si>
  <si>
    <t>Thompson</t>
  </si>
  <si>
    <t>calvin@dartican.com</t>
  </si>
  <si>
    <t>calvin</t>
  </si>
  <si>
    <t>Joe</t>
  </si>
  <si>
    <t>Montana</t>
  </si>
  <si>
    <t>jmontana</t>
  </si>
  <si>
    <t>jmontana@dartican.com</t>
  </si>
  <si>
    <t>Nedra</t>
  </si>
  <si>
    <t>Soles</t>
  </si>
  <si>
    <t>nsoles</t>
  </si>
  <si>
    <t>nsoles@dartican.com</t>
  </si>
  <si>
    <t>Jack</t>
  </si>
  <si>
    <t>Sherman</t>
  </si>
  <si>
    <t>jsherman@dartican.com</t>
  </si>
  <si>
    <t>jsherman</t>
  </si>
  <si>
    <t>Sam</t>
  </si>
  <si>
    <t>Duncan</t>
  </si>
  <si>
    <t>sduncan@dartican.com</t>
  </si>
  <si>
    <t>sduncan</t>
  </si>
  <si>
    <t>Charmain</t>
  </si>
  <si>
    <t>Jackson</t>
  </si>
  <si>
    <t>cjackson@dartican.com</t>
  </si>
  <si>
    <t>cjackson</t>
  </si>
  <si>
    <t>Green</t>
  </si>
  <si>
    <t>Tea</t>
  </si>
  <si>
    <t>tgreen@dartican.com</t>
  </si>
  <si>
    <t>tgreen</t>
  </si>
  <si>
    <t>Richele</t>
  </si>
  <si>
    <t>Ramsey</t>
  </si>
  <si>
    <t>rramsey@dartican.com</t>
  </si>
  <si>
    <t>rramsey</t>
  </si>
  <si>
    <t>DeDe</t>
  </si>
  <si>
    <t>Sampson</t>
  </si>
  <si>
    <t>dsampson@dartican.com</t>
  </si>
  <si>
    <t>dsampson</t>
  </si>
  <si>
    <t>James</t>
  </si>
  <si>
    <t>Yokay</t>
  </si>
  <si>
    <t>jyokay@dartican.com</t>
  </si>
  <si>
    <t>jyokay</t>
  </si>
  <si>
    <t>Sarah</t>
  </si>
  <si>
    <t>Masters</t>
  </si>
  <si>
    <t>msarah@dartican.com</t>
  </si>
  <si>
    <t>msarah</t>
  </si>
  <si>
    <t>Darla</t>
  </si>
  <si>
    <t>Tucker</t>
  </si>
  <si>
    <t>dtucker@dartican.com</t>
  </si>
  <si>
    <t>dtucker</t>
  </si>
  <si>
    <t>Lloyd</t>
  </si>
  <si>
    <t>Ward Jr</t>
  </si>
  <si>
    <t>jward@dartican.com</t>
  </si>
  <si>
    <t>jward</t>
  </si>
  <si>
    <t>Current Position Title</t>
  </si>
  <si>
    <t>Job Family Code</t>
  </si>
  <si>
    <t>Job Discipline Name</t>
  </si>
  <si>
    <t>Job Level</t>
  </si>
  <si>
    <t>Grade Level</t>
  </si>
  <si>
    <t>FLSA</t>
  </si>
  <si>
    <t>Display Order</t>
  </si>
  <si>
    <t>Certified  Doc Aide</t>
  </si>
  <si>
    <t>ACC</t>
  </si>
  <si>
    <t>Accounting</t>
  </si>
  <si>
    <t>Money out</t>
  </si>
  <si>
    <t>OK</t>
  </si>
  <si>
    <t>GRD-E06</t>
  </si>
  <si>
    <t>Exempt</t>
  </si>
  <si>
    <t>OPS</t>
  </si>
  <si>
    <t>Operations</t>
  </si>
  <si>
    <t>Med</t>
  </si>
  <si>
    <t>GRD-E10</t>
  </si>
  <si>
    <t>GRD-E12</t>
  </si>
  <si>
    <t>GRD-E14</t>
  </si>
  <si>
    <t>Money In</t>
  </si>
  <si>
    <t>HR  Coordinator</t>
  </si>
  <si>
    <t>HR</t>
  </si>
  <si>
    <t>Human\ Resources</t>
  </si>
  <si>
    <t>People</t>
  </si>
  <si>
    <t>Human Resources</t>
  </si>
  <si>
    <t>Work</t>
  </si>
  <si>
    <t>Admin</t>
  </si>
  <si>
    <t>Administration</t>
  </si>
  <si>
    <t>not real work</t>
  </si>
  <si>
    <t>GRD-E16</t>
  </si>
  <si>
    <t>Administrative Assistant III</t>
  </si>
  <si>
    <t>GRD-E18</t>
  </si>
  <si>
    <t>IT</t>
  </si>
  <si>
    <t>Technology</t>
  </si>
  <si>
    <t>Tech</t>
  </si>
  <si>
    <t>Money tracker</t>
  </si>
  <si>
    <t>GRD-E20</t>
  </si>
  <si>
    <t>work</t>
  </si>
  <si>
    <t>GRD-E22</t>
  </si>
  <si>
    <t>GRD-E28</t>
  </si>
  <si>
    <t>GRD-E29</t>
  </si>
  <si>
    <t>GRD-E32</t>
  </si>
  <si>
    <t>Up There</t>
  </si>
  <si>
    <t>GRD-E34</t>
  </si>
  <si>
    <t>GRD-E38</t>
  </si>
  <si>
    <t>Near Top</t>
  </si>
  <si>
    <t>Top</t>
  </si>
  <si>
    <t>GRD-E40</t>
  </si>
  <si>
    <t>Certified  Doc Aide!</t>
  </si>
  <si>
    <t>Certified  Nurse Aide@</t>
  </si>
  <si>
    <t>LVN#</t>
  </si>
  <si>
    <t>RN$</t>
  </si>
  <si>
    <t>A/P Specialist%</t>
  </si>
  <si>
    <t>A/R Specialist-Billing^</t>
  </si>
  <si>
    <t>HR Coordinator/AA*</t>
  </si>
  <si>
    <t>P/R Specialist(</t>
  </si>
  <si>
    <t xml:space="preserve">Administrative Assistant I </t>
  </si>
  <si>
    <t>Administrative Assistant I )</t>
  </si>
  <si>
    <t>Administrative Assistant III _</t>
  </si>
  <si>
    <t>Director of Nursing -</t>
  </si>
  <si>
    <t xml:space="preserve">Programmer </t>
  </si>
  <si>
    <t>Programmer +</t>
  </si>
  <si>
    <t xml:space="preserve">Accountant </t>
  </si>
  <si>
    <t>Accountant =</t>
  </si>
  <si>
    <t xml:space="preserve">Bookkeeper </t>
  </si>
  <si>
    <t>Bookkeeper {</t>
  </si>
  <si>
    <t>Development Manager}</t>
  </si>
  <si>
    <t xml:space="preserve">Executive Administrative Assistant </t>
  </si>
  <si>
    <t>Executive Administrative Assistant [</t>
  </si>
  <si>
    <t xml:space="preserve">Project Manager </t>
  </si>
  <si>
    <t>Project Manager ]</t>
  </si>
  <si>
    <t xml:space="preserve">Sr. Accountant </t>
  </si>
  <si>
    <t>Sr. Accountant |</t>
  </si>
  <si>
    <t xml:space="preserve">Human Resource Manager </t>
  </si>
  <si>
    <t>Human Resource Manager \</t>
  </si>
  <si>
    <t xml:space="preserve">Sales/Marketing Manager </t>
  </si>
  <si>
    <t>Sales/Marketing Manager :</t>
  </si>
  <si>
    <t xml:space="preserve">IT Manager </t>
  </si>
  <si>
    <t>IT Manager ;</t>
  </si>
  <si>
    <t>Controller '</t>
  </si>
  <si>
    <t xml:space="preserve">Director of HR </t>
  </si>
  <si>
    <t>Director of HR "</t>
  </si>
  <si>
    <t xml:space="preserve">Director of Operations </t>
  </si>
  <si>
    <t>Director of Operations &lt;</t>
  </si>
  <si>
    <t>Director of Operations ,</t>
  </si>
  <si>
    <t>Director of Operations &gt;</t>
  </si>
  <si>
    <t>Director of Operations ?</t>
  </si>
  <si>
    <t>Director of Operations /</t>
  </si>
  <si>
    <t>Merit Guideline From</t>
  </si>
  <si>
    <t>Merit Guideline To</t>
  </si>
  <si>
    <t>Q1 From</t>
  </si>
  <si>
    <t>Q1 To</t>
  </si>
  <si>
    <t>Q2 From</t>
  </si>
  <si>
    <t>Q2 To</t>
  </si>
  <si>
    <t>Q3 From</t>
  </si>
  <si>
    <t>Q3 To</t>
  </si>
  <si>
    <t>Q4 From</t>
  </si>
  <si>
    <t>Q4 To</t>
  </si>
  <si>
    <t>A From</t>
  </si>
  <si>
    <t>A To</t>
  </si>
  <si>
    <t>B From</t>
  </si>
  <si>
    <t>B To</t>
  </si>
  <si>
    <t>C From</t>
  </si>
  <si>
    <t>C To</t>
  </si>
  <si>
    <t>D From</t>
  </si>
  <si>
    <t>D To</t>
  </si>
  <si>
    <t>E From</t>
  </si>
  <si>
    <t>E To</t>
  </si>
  <si>
    <t>F From</t>
  </si>
  <si>
    <t>F To</t>
  </si>
  <si>
    <t>G From</t>
  </si>
  <si>
    <t>G To</t>
  </si>
  <si>
    <t>H From</t>
  </si>
  <si>
    <t>H To</t>
  </si>
  <si>
    <t>I From</t>
  </si>
  <si>
    <t>I To</t>
  </si>
  <si>
    <t>B2</t>
  </si>
  <si>
    <t>PMP</t>
  </si>
  <si>
    <t>(Grimm, Briañ)</t>
  </si>
  <si>
    <t>Janish / Betty</t>
  </si>
  <si>
    <t>0000000A1</t>
  </si>
  <si>
    <t>Michael</t>
  </si>
  <si>
    <t>Gerthe</t>
  </si>
  <si>
    <t>mgerthe</t>
  </si>
  <si>
    <t>mgerthe@dartican.com</t>
  </si>
  <si>
    <t>North American Central</t>
  </si>
  <si>
    <t>Juan</t>
  </si>
  <si>
    <t>Garza</t>
  </si>
  <si>
    <t>jgarza</t>
  </si>
  <si>
    <t>jgarza@dartican.com</t>
  </si>
  <si>
    <t>Steven</t>
  </si>
  <si>
    <t>Kabak</t>
  </si>
  <si>
    <t>skabak</t>
  </si>
  <si>
    <t>skabak@dartican.com</t>
  </si>
  <si>
    <t>Stewart</t>
  </si>
  <si>
    <t>Byrne</t>
  </si>
  <si>
    <t>sbyrne</t>
  </si>
  <si>
    <t>sbyrne@dartican.com</t>
  </si>
  <si>
    <t>Katie</t>
  </si>
  <si>
    <t>Smith</t>
  </si>
  <si>
    <t>ksmith</t>
  </si>
  <si>
    <t>ksmith@dartican.com</t>
  </si>
  <si>
    <t>Edward</t>
  </si>
  <si>
    <t>Huang</t>
  </si>
  <si>
    <t>ehuang</t>
  </si>
  <si>
    <t>ehuang@dartican.com</t>
  </si>
  <si>
    <t>Manuel</t>
  </si>
  <si>
    <t>Amador</t>
  </si>
  <si>
    <t>mamador</t>
  </si>
  <si>
    <t>mamador@dartican.com</t>
  </si>
  <si>
    <t>Georgia</t>
  </si>
  <si>
    <t>Harrison</t>
  </si>
  <si>
    <t>gharrison</t>
  </si>
  <si>
    <t>gharrison@dartican.com</t>
  </si>
  <si>
    <t>Kerri</t>
  </si>
  <si>
    <t>Berndt</t>
  </si>
  <si>
    <t>kberndt</t>
  </si>
  <si>
    <t>kberndt@dartican.com</t>
  </si>
  <si>
    <t>Ed</t>
  </si>
  <si>
    <t>Zimny</t>
  </si>
  <si>
    <t>ezimny</t>
  </si>
  <si>
    <t>ezimny@dartican.com</t>
  </si>
  <si>
    <t>Bradley</t>
  </si>
  <si>
    <t>bsmith</t>
  </si>
  <si>
    <t>bsmith@dartican.com</t>
  </si>
  <si>
    <t>Rob</t>
  </si>
  <si>
    <t>Feldman</t>
  </si>
  <si>
    <t>rfeldman</t>
  </si>
  <si>
    <t>rfeldman@dartican.com</t>
  </si>
  <si>
    <t>Mike</t>
  </si>
  <si>
    <t>Stanley</t>
  </si>
  <si>
    <t>mstanley</t>
  </si>
  <si>
    <t>mstanley@dartican.com</t>
  </si>
  <si>
    <t>Dianne</t>
  </si>
  <si>
    <t>Buschmann</t>
  </si>
  <si>
    <t>dbuschmann</t>
  </si>
  <si>
    <t>dbuschmann@dartican.com</t>
  </si>
  <si>
    <t>Cathy</t>
  </si>
  <si>
    <t>Bonwick</t>
  </si>
  <si>
    <t>cbonwick</t>
  </si>
  <si>
    <t>cbonwick@dartican.com</t>
  </si>
  <si>
    <t>Ray</t>
  </si>
  <si>
    <t>Liang</t>
  </si>
  <si>
    <t>rliang</t>
  </si>
  <si>
    <t>rliang@dartican.com</t>
  </si>
  <si>
    <t>Jimmy</t>
  </si>
  <si>
    <t>Shi</t>
  </si>
  <si>
    <t>jshi</t>
  </si>
  <si>
    <t>jshi@dartican.com</t>
  </si>
  <si>
    <t>Ye</t>
  </si>
  <si>
    <t>Song</t>
  </si>
  <si>
    <t>ysong</t>
  </si>
  <si>
    <t>ysong@dartican.com</t>
  </si>
  <si>
    <t>Geoffrey</t>
  </si>
  <si>
    <t>Gao</t>
  </si>
  <si>
    <t>ggao</t>
  </si>
  <si>
    <t>ggao@dartican.com</t>
  </si>
  <si>
    <t>Chaitanya</t>
  </si>
  <si>
    <t>Kancherla</t>
  </si>
  <si>
    <t>ckancherla</t>
  </si>
  <si>
    <t>ckancherla@dartican.com</t>
  </si>
  <si>
    <t>Robert</t>
  </si>
  <si>
    <t>Wright</t>
  </si>
  <si>
    <t>rwright</t>
  </si>
  <si>
    <t>rwright@dartican.com</t>
  </si>
  <si>
    <t>Alex</t>
  </si>
  <si>
    <t>Beynon</t>
  </si>
  <si>
    <t>abeynon</t>
  </si>
  <si>
    <t>abeynon@dartican.com</t>
  </si>
  <si>
    <t>Oksana</t>
  </si>
  <si>
    <t>Maslak</t>
  </si>
  <si>
    <t>omaslak</t>
  </si>
  <si>
    <t>omaslak@dartican.com</t>
  </si>
  <si>
    <t>Chris</t>
  </si>
  <si>
    <t>Shepherd</t>
  </si>
  <si>
    <t>cshepherd</t>
  </si>
  <si>
    <t>cshepherd@dartican.com</t>
  </si>
  <si>
    <t>Piyush</t>
  </si>
  <si>
    <t>Shrivastava</t>
  </si>
  <si>
    <t>pshrivastava</t>
  </si>
  <si>
    <t>pshrivastava@dartican.com</t>
  </si>
  <si>
    <t>Shawn</t>
  </si>
  <si>
    <t>Genoway</t>
  </si>
  <si>
    <t>sgenoway</t>
  </si>
  <si>
    <t>sgenoway@dartican.com</t>
  </si>
  <si>
    <t>Tarani</t>
  </si>
  <si>
    <t>Vishwanatha</t>
  </si>
  <si>
    <t>tvishwanatha</t>
  </si>
  <si>
    <t>tvishwanatha@dartican.com</t>
  </si>
  <si>
    <t>Anil</t>
  </si>
  <si>
    <t>Gudoor</t>
  </si>
  <si>
    <t>agudoor</t>
  </si>
  <si>
    <t>agudoor@dartican.com</t>
  </si>
  <si>
    <t>Aravind</t>
  </si>
  <si>
    <t>Pushparaj</t>
  </si>
  <si>
    <t>apushparaj</t>
  </si>
  <si>
    <t>apushparaj@dartican.com</t>
  </si>
  <si>
    <t>Troy</t>
  </si>
  <si>
    <t>Stevens</t>
  </si>
  <si>
    <t>tstevens</t>
  </si>
  <si>
    <t>tstevens@dartican.com</t>
  </si>
  <si>
    <t>Tony</t>
  </si>
  <si>
    <t>Bell</t>
  </si>
  <si>
    <t>tbell</t>
  </si>
  <si>
    <t>tbell@dartican.com</t>
  </si>
  <si>
    <t>Safi</t>
  </si>
  <si>
    <t>Obeidullah</t>
  </si>
  <si>
    <t>sobeidullah</t>
  </si>
  <si>
    <t>sobeidullah@dartican.com</t>
  </si>
  <si>
    <t>Paul</t>
  </si>
  <si>
    <t>Martine</t>
  </si>
  <si>
    <t>pmartine</t>
  </si>
  <si>
    <t>pmartine@dartican.com</t>
  </si>
  <si>
    <t>Igor</t>
  </si>
  <si>
    <t>Zaritsky</t>
  </si>
  <si>
    <t>izaritsky</t>
  </si>
  <si>
    <t>izaritsky@dartican.com</t>
  </si>
  <si>
    <t>Hiroko</t>
  </si>
  <si>
    <t>Oyaizu</t>
  </si>
  <si>
    <t>hoyaizu</t>
  </si>
  <si>
    <t>hoyaizu@dartican.com</t>
  </si>
  <si>
    <t>Dickon</t>
  </si>
  <si>
    <t>Reed</t>
  </si>
  <si>
    <t>dreed</t>
  </si>
  <si>
    <t>dreed@dartican.com</t>
  </si>
  <si>
    <t>Justin</t>
  </si>
  <si>
    <t>Maeder</t>
  </si>
  <si>
    <t>jmaeder</t>
  </si>
  <si>
    <t>jmaeder@dartican.com</t>
  </si>
  <si>
    <t>David</t>
  </si>
  <si>
    <t>Hoppesch</t>
  </si>
  <si>
    <t>dhoppesch</t>
  </si>
  <si>
    <t>dhoppesch@dartican.com</t>
  </si>
  <si>
    <t>Richard</t>
  </si>
  <si>
    <t>Price</t>
  </si>
  <si>
    <t>rprice</t>
  </si>
  <si>
    <t>rprice@dartican.com</t>
  </si>
  <si>
    <t>Ramon</t>
  </si>
  <si>
    <t>O Scott</t>
  </si>
  <si>
    <t>ro scott</t>
  </si>
  <si>
    <t>ro scott@dartican.com</t>
  </si>
  <si>
    <t>Shiva</t>
  </si>
  <si>
    <t>Carver</t>
  </si>
  <si>
    <t>scarver</t>
  </si>
  <si>
    <t>scarver@dartican.com</t>
  </si>
  <si>
    <t>Steve</t>
  </si>
  <si>
    <t>Kidd</t>
  </si>
  <si>
    <t>skidd</t>
  </si>
  <si>
    <t>skidd@dartican.com</t>
  </si>
  <si>
    <t>Phil</t>
  </si>
  <si>
    <t>Caleno</t>
  </si>
  <si>
    <t>pcaleno</t>
  </si>
  <si>
    <t>pcaleno@dartican.com</t>
  </si>
  <si>
    <t>Wilfred</t>
  </si>
  <si>
    <t>Roshan Lobo</t>
  </si>
  <si>
    <t>wroshan lobo</t>
  </si>
  <si>
    <t>wroshan lobo@dartican.com</t>
  </si>
  <si>
    <t>Stephen</t>
  </si>
  <si>
    <t>Clouse</t>
  </si>
  <si>
    <t>sclouse</t>
  </si>
  <si>
    <t>sclouse@dartican.com</t>
  </si>
  <si>
    <t>Carey</t>
  </si>
  <si>
    <t>Saunders</t>
  </si>
  <si>
    <t>csaunders</t>
  </si>
  <si>
    <t>csaunders@dartican.com</t>
  </si>
  <si>
    <t>Diego</t>
  </si>
  <si>
    <t>Zaccariotto</t>
  </si>
  <si>
    <t>dzaccariotto</t>
  </si>
  <si>
    <t>dzaccariotto@dartican.com</t>
  </si>
  <si>
    <t>Balcanquall</t>
  </si>
  <si>
    <t>abalcanquall</t>
  </si>
  <si>
    <t>abalcanquall@dartican.com</t>
  </si>
  <si>
    <t>Cori</t>
  </si>
  <si>
    <t>Bey</t>
  </si>
  <si>
    <t>cbey</t>
  </si>
  <si>
    <t>cbey@dartican.com</t>
  </si>
  <si>
    <t>Terri</t>
  </si>
  <si>
    <t>Lancaster</t>
  </si>
  <si>
    <t>tlancaster</t>
  </si>
  <si>
    <t>tlancaster@dartican.com</t>
  </si>
  <si>
    <t>Aman</t>
  </si>
  <si>
    <t>Gupta</t>
  </si>
  <si>
    <t>agupta</t>
  </si>
  <si>
    <t>agupta@dartican.com</t>
  </si>
  <si>
    <t>Ben</t>
  </si>
  <si>
    <t>blancaster</t>
  </si>
  <si>
    <t>blancaster@dartican.com</t>
  </si>
  <si>
    <t>Cris</t>
  </si>
  <si>
    <t>Rosul</t>
  </si>
  <si>
    <t>crosul</t>
  </si>
  <si>
    <t>crosul@dartican.com</t>
  </si>
  <si>
    <t>Jim</t>
  </si>
  <si>
    <t>West</t>
  </si>
  <si>
    <t>jwest</t>
  </si>
  <si>
    <t>jwest@dartican.com</t>
  </si>
  <si>
    <t>Kenya</t>
  </si>
  <si>
    <t>Grant Potter</t>
  </si>
  <si>
    <t>kgrant potter</t>
  </si>
  <si>
    <t>kgrant potter@dartican.com</t>
  </si>
  <si>
    <t>Eric</t>
  </si>
  <si>
    <t>Spatzer</t>
  </si>
  <si>
    <t>espatzer</t>
  </si>
  <si>
    <t>espatzer@dartican.com</t>
  </si>
  <si>
    <t>Burns</t>
  </si>
  <si>
    <t>mburns</t>
  </si>
  <si>
    <t>mburns@dartican.com</t>
  </si>
  <si>
    <t>Shankar</t>
  </si>
  <si>
    <t>Krishnan</t>
  </si>
  <si>
    <t>skrishnan</t>
  </si>
  <si>
    <t>skrishnan@dartican.com</t>
  </si>
  <si>
    <t>Mohammed</t>
  </si>
  <si>
    <t>Ehetesham Ul Haq Malik</t>
  </si>
  <si>
    <t>mehetesham ul haq malik</t>
  </si>
  <si>
    <t>mehetesham ul haq malik@dartican.com</t>
  </si>
  <si>
    <t>Tetsuya</t>
  </si>
  <si>
    <t>Fukunaga</t>
  </si>
  <si>
    <t>tfukunaga</t>
  </si>
  <si>
    <t>tfukunaga@dartican.com</t>
  </si>
  <si>
    <t>Silvia</t>
  </si>
  <si>
    <t>Brady</t>
  </si>
  <si>
    <t>sbrady</t>
  </si>
  <si>
    <t>sbrady@dartican.com</t>
  </si>
  <si>
    <t>Mahesh</t>
  </si>
  <si>
    <t>Bhaskarpandit</t>
  </si>
  <si>
    <t>mbhaskarpandit</t>
  </si>
  <si>
    <t>mbhaskarpandit@dartican.com</t>
  </si>
  <si>
    <t>Kevin</t>
  </si>
  <si>
    <t>Sonsky</t>
  </si>
  <si>
    <t>ksonsky</t>
  </si>
  <si>
    <t>ksonsky@dartican.com</t>
  </si>
  <si>
    <t>Chun</t>
  </si>
  <si>
    <t>Liang （梁春）</t>
  </si>
  <si>
    <t>cliang （梁春）</t>
  </si>
  <si>
    <t>cliang （梁春）@dartican.com</t>
  </si>
  <si>
    <t>Jenny</t>
  </si>
  <si>
    <t>Mechali</t>
  </si>
  <si>
    <t>jmechali</t>
  </si>
  <si>
    <t>jmechali@dartican.com</t>
  </si>
  <si>
    <t>Anupa</t>
  </si>
  <si>
    <t>Kamath</t>
  </si>
  <si>
    <t>akamath</t>
  </si>
  <si>
    <t>akamath@dartican.com</t>
  </si>
  <si>
    <t>Jair</t>
  </si>
  <si>
    <t>Longo Jr.</t>
  </si>
  <si>
    <t>jlongo jr.</t>
  </si>
  <si>
    <t>jlongo jr.@dartican.com</t>
  </si>
  <si>
    <t>Bob</t>
  </si>
  <si>
    <t>Ball</t>
  </si>
  <si>
    <t>bball</t>
  </si>
  <si>
    <t>bball@dartican.com</t>
  </si>
  <si>
    <t>Jose</t>
  </si>
  <si>
    <t>Chomon</t>
  </si>
  <si>
    <t>jchomon</t>
  </si>
  <si>
    <t>jchomon@dartican.com</t>
  </si>
  <si>
    <t>Timothy</t>
  </si>
  <si>
    <t>Hayden</t>
  </si>
  <si>
    <t>thayden</t>
  </si>
  <si>
    <t>thayden@dartican.com</t>
  </si>
  <si>
    <t>Janae</t>
  </si>
  <si>
    <t>Bennett</t>
  </si>
  <si>
    <t>jbennett</t>
  </si>
  <si>
    <t>jbennett@dartican.com</t>
  </si>
  <si>
    <t>Giuseppe</t>
  </si>
  <si>
    <t>Mercatante</t>
  </si>
  <si>
    <t>gmercatante</t>
  </si>
  <si>
    <t>gmercatante@dartican.com</t>
  </si>
  <si>
    <t>Matt</t>
  </si>
  <si>
    <t>Crawford</t>
  </si>
  <si>
    <t>mcrawford</t>
  </si>
  <si>
    <t>mcrawford@dartican.com</t>
  </si>
  <si>
    <t>Gilberto</t>
  </si>
  <si>
    <t>Artuza</t>
  </si>
  <si>
    <t>gartuza</t>
  </si>
  <si>
    <t>gartuza@dartican.com</t>
  </si>
  <si>
    <t>Jon</t>
  </si>
  <si>
    <t>Jumento</t>
  </si>
  <si>
    <t>jjumento</t>
  </si>
  <si>
    <t>jjumento@dartican.com</t>
  </si>
  <si>
    <t>Tito</t>
  </si>
  <si>
    <t>Dacunha</t>
  </si>
  <si>
    <t>tdacunha</t>
  </si>
  <si>
    <t>tdacunha@dartican.com</t>
  </si>
  <si>
    <t>Todd</t>
  </si>
  <si>
    <t>Rosenthal</t>
  </si>
  <si>
    <t>trosenthal</t>
  </si>
  <si>
    <t>trosenthal@dartican.com</t>
  </si>
  <si>
    <t>Ilona</t>
  </si>
  <si>
    <t>Mandel</t>
  </si>
  <si>
    <t>imandel</t>
  </si>
  <si>
    <t>imandel@dartican.com</t>
  </si>
  <si>
    <t>Arun</t>
  </si>
  <si>
    <t>Eledath</t>
  </si>
  <si>
    <t>aeledath</t>
  </si>
  <si>
    <t>aeledath@dartican.com</t>
  </si>
  <si>
    <t>Louis</t>
  </si>
  <si>
    <t>Ballanger</t>
  </si>
  <si>
    <t>lballanger</t>
  </si>
  <si>
    <t>lballanger@dartican.com</t>
  </si>
  <si>
    <t>Qiu</t>
  </si>
  <si>
    <t>Feng Woo</t>
  </si>
  <si>
    <t>qfeng woo</t>
  </si>
  <si>
    <t>qfeng woo@dartican.com</t>
  </si>
  <si>
    <t>Chen</t>
  </si>
  <si>
    <t>tchen</t>
  </si>
  <si>
    <t>tchen@dartican.com</t>
  </si>
  <si>
    <t>Amy</t>
  </si>
  <si>
    <t>Kahrim</t>
  </si>
  <si>
    <t>akahrim</t>
  </si>
  <si>
    <t>akahrim@dartican.com</t>
  </si>
  <si>
    <t>Rajesh</t>
  </si>
  <si>
    <t>Narayanan</t>
  </si>
  <si>
    <t>rnarayanan</t>
  </si>
  <si>
    <t>rnarayanan@dartican.com</t>
  </si>
  <si>
    <t>Murugan</t>
  </si>
  <si>
    <t>Saminathan</t>
  </si>
  <si>
    <t>msaminathan</t>
  </si>
  <si>
    <t>msaminathan@dartican.com</t>
  </si>
  <si>
    <t>Kiran</t>
  </si>
  <si>
    <t>K Nagaraj</t>
  </si>
  <si>
    <t>kk nagaraj</t>
  </si>
  <si>
    <t>kk nagaraj@dartican.com</t>
  </si>
  <si>
    <t>Tyler</t>
  </si>
  <si>
    <t>Morten</t>
  </si>
  <si>
    <t>tmorten</t>
  </si>
  <si>
    <t>tmorten@dartican.com</t>
  </si>
  <si>
    <t>John</t>
  </si>
  <si>
    <t>Hurley</t>
  </si>
  <si>
    <t>jhurley</t>
  </si>
  <si>
    <t>jhurley@dartican.com</t>
  </si>
  <si>
    <t>Andy</t>
  </si>
  <si>
    <t>Baker</t>
  </si>
  <si>
    <t>abaker</t>
  </si>
  <si>
    <t>abaker@dartican.com</t>
  </si>
  <si>
    <t>Levy</t>
  </si>
  <si>
    <t>jlevy</t>
  </si>
  <si>
    <t>jlevy@dartican.com</t>
  </si>
  <si>
    <t>Gordon</t>
  </si>
  <si>
    <t>jgordon</t>
  </si>
  <si>
    <t>jgordon@dartican.com</t>
  </si>
  <si>
    <t>Mads</t>
  </si>
  <si>
    <t>Skalbo</t>
  </si>
  <si>
    <t>mskalbo</t>
  </si>
  <si>
    <t>mskalbo@dartican.com</t>
  </si>
  <si>
    <t>Larry</t>
  </si>
  <si>
    <t>Budd</t>
  </si>
  <si>
    <t>lbudd</t>
  </si>
  <si>
    <t>lbudd@dartican.com</t>
  </si>
  <si>
    <t>Tim</t>
  </si>
  <si>
    <t>Johnson</t>
  </si>
  <si>
    <t>tjohnson</t>
  </si>
  <si>
    <t>tjohnson@dartican.com</t>
  </si>
  <si>
    <t>Allison</t>
  </si>
  <si>
    <t>Campos</t>
  </si>
  <si>
    <t>acampos</t>
  </si>
  <si>
    <t>acampos@dartican.com</t>
  </si>
  <si>
    <t>Saurendra</t>
  </si>
  <si>
    <t>Das</t>
  </si>
  <si>
    <t>sdas</t>
  </si>
  <si>
    <t>sdas@dartican.com</t>
  </si>
  <si>
    <t>Nitin</t>
  </si>
  <si>
    <t>Manoharan</t>
  </si>
  <si>
    <t>nmanoharan</t>
  </si>
  <si>
    <t>nmanoharan@dartican.com</t>
  </si>
  <si>
    <t>Pramod</t>
  </si>
  <si>
    <t>G Mecaden</t>
  </si>
  <si>
    <t>pg mecaden</t>
  </si>
  <si>
    <t>pg mecaden@dartican.com</t>
  </si>
  <si>
    <t>Marc</t>
  </si>
  <si>
    <t>Mutzman</t>
  </si>
  <si>
    <t>mmutzman</t>
  </si>
  <si>
    <t>mmutzman@dartican.com</t>
  </si>
  <si>
    <t>Hope</t>
  </si>
  <si>
    <t>Simmons</t>
  </si>
  <si>
    <t>hsimmons</t>
  </si>
  <si>
    <t>hsimmons@dartican.com</t>
  </si>
  <si>
    <t>Jason</t>
  </si>
  <si>
    <t>Olenick</t>
  </si>
  <si>
    <t>jolenick</t>
  </si>
  <si>
    <t>jolenick@dartican.com</t>
  </si>
  <si>
    <t>Chirag</t>
  </si>
  <si>
    <t>Patel</t>
  </si>
  <si>
    <t>cpatel</t>
  </si>
  <si>
    <t>cpatel@dartican.com</t>
  </si>
  <si>
    <t>Helena</t>
  </si>
  <si>
    <t>Bescos Menendez</t>
  </si>
  <si>
    <t>hbescos menendez</t>
  </si>
  <si>
    <t>hbescos menendez@dartican.com</t>
  </si>
  <si>
    <t>Patrick</t>
  </si>
  <si>
    <t>Robinson</t>
  </si>
  <si>
    <t>probinson</t>
  </si>
  <si>
    <t>probinson@dartican.com</t>
  </si>
  <si>
    <t>Rodriguez</t>
  </si>
  <si>
    <t>erodriguez</t>
  </si>
  <si>
    <t>erodriguez@dartican.com</t>
  </si>
  <si>
    <t>Brosnahan</t>
  </si>
  <si>
    <t>dbrosnahan</t>
  </si>
  <si>
    <t>dbrosnahan@dartican.com</t>
  </si>
  <si>
    <t>Fernando</t>
  </si>
  <si>
    <t>Campo</t>
  </si>
  <si>
    <t>fcampo</t>
  </si>
  <si>
    <t>fcampo@dartican.com</t>
  </si>
  <si>
    <t>Haworth</t>
  </si>
  <si>
    <t>ahaworth</t>
  </si>
  <si>
    <t>ahaworth@dartican.com</t>
  </si>
  <si>
    <t>Wayne</t>
  </si>
  <si>
    <t>wmasters</t>
  </si>
  <si>
    <t>wmasters@dartican.com</t>
  </si>
  <si>
    <t>Benjamin</t>
  </si>
  <si>
    <t>Jolivet</t>
  </si>
  <si>
    <t>bjolivet</t>
  </si>
  <si>
    <t>bjolivet@dartican.com</t>
  </si>
  <si>
    <t>Diamelin</t>
  </si>
  <si>
    <t>Lopez</t>
  </si>
  <si>
    <t>dlopez</t>
  </si>
  <si>
    <t>dlopez@dartican.com</t>
  </si>
  <si>
    <t>Donna</t>
  </si>
  <si>
    <t>Goldstein</t>
  </si>
  <si>
    <t>dgoldstein</t>
  </si>
  <si>
    <t>dgoldstein@dartican.com</t>
  </si>
  <si>
    <t>Keller</t>
  </si>
  <si>
    <t>jkeller</t>
  </si>
  <si>
    <t>jkeller@dartican.com</t>
  </si>
  <si>
    <t>Craig</t>
  </si>
  <si>
    <t>Stilwell</t>
  </si>
  <si>
    <t>cstilwell</t>
  </si>
  <si>
    <t>cstilwell@dartican.com</t>
  </si>
  <si>
    <t>Alessandra</t>
  </si>
  <si>
    <t>Owens</t>
  </si>
  <si>
    <t>aowens</t>
  </si>
  <si>
    <t>aowens@dartican.com</t>
  </si>
  <si>
    <t>Sweeney</t>
  </si>
  <si>
    <t>lsweeney</t>
  </si>
  <si>
    <t>lsweeney@dartican.com</t>
  </si>
  <si>
    <t>Girish</t>
  </si>
  <si>
    <t>R</t>
  </si>
  <si>
    <t>gr</t>
  </si>
  <si>
    <t>gr@dartican.com</t>
  </si>
  <si>
    <t>Danielle</t>
  </si>
  <si>
    <t>Ross</t>
  </si>
  <si>
    <t>dross</t>
  </si>
  <si>
    <t>dross@dartican.com</t>
  </si>
  <si>
    <t>Shailee</t>
  </si>
  <si>
    <t>Tandon</t>
  </si>
  <si>
    <t>standon</t>
  </si>
  <si>
    <t>standon@dartican.com</t>
  </si>
  <si>
    <t>Bridget</t>
  </si>
  <si>
    <t>Weinert</t>
  </si>
  <si>
    <t>bweinert</t>
  </si>
  <si>
    <t>bweinert@dartican.com</t>
  </si>
  <si>
    <t>Sudheer</t>
  </si>
  <si>
    <t>Kumar Baki</t>
  </si>
  <si>
    <t>skumar baki</t>
  </si>
  <si>
    <t>skumar baki@dartican.com</t>
  </si>
  <si>
    <t>Aaron</t>
  </si>
  <si>
    <t>Wilson</t>
  </si>
  <si>
    <t>awilson</t>
  </si>
  <si>
    <t>awilson@dartican.com</t>
  </si>
  <si>
    <t>Nikki</t>
  </si>
  <si>
    <t>Aronovich</t>
  </si>
  <si>
    <t>naronovich</t>
  </si>
  <si>
    <t>naronovich@dartican.com</t>
  </si>
  <si>
    <t>Knut</t>
  </si>
  <si>
    <t>Alnaes</t>
  </si>
  <si>
    <t>kalnaes</t>
  </si>
  <si>
    <t>kalnaes@dartican.com</t>
  </si>
  <si>
    <t>Adrian</t>
  </si>
  <si>
    <t>Shulman</t>
  </si>
  <si>
    <t>ashulman</t>
  </si>
  <si>
    <t>ashulman@dartican.com</t>
  </si>
  <si>
    <t>George</t>
  </si>
  <si>
    <t>Farah</t>
  </si>
  <si>
    <t>gfarah</t>
  </si>
  <si>
    <t>gfarah@dartican.com</t>
  </si>
  <si>
    <t>Wang</t>
  </si>
  <si>
    <t>jwang</t>
  </si>
  <si>
    <t>jwang@dartican.com</t>
  </si>
  <si>
    <t>Rajeev</t>
  </si>
  <si>
    <t>Jain</t>
  </si>
  <si>
    <t>rjain</t>
  </si>
  <si>
    <t>rjain@dartican.com</t>
  </si>
  <si>
    <t>Doug</t>
  </si>
  <si>
    <t>Dobson</t>
  </si>
  <si>
    <t>ddobson</t>
  </si>
  <si>
    <t>ddobson@dartican.com</t>
  </si>
  <si>
    <t>Sanchez</t>
  </si>
  <si>
    <t>tsanchez</t>
  </si>
  <si>
    <t>tsanchez@dartican.com</t>
  </si>
  <si>
    <t>Denise</t>
  </si>
  <si>
    <t>Mendez</t>
  </si>
  <si>
    <t>dmendez</t>
  </si>
  <si>
    <t>dmendez@dartican.com</t>
  </si>
  <si>
    <t>Emilio</t>
  </si>
  <si>
    <t>Fuentes</t>
  </si>
  <si>
    <t>efuentes</t>
  </si>
  <si>
    <t>efuentes@dartican.com</t>
  </si>
  <si>
    <t>Lesley</t>
  </si>
  <si>
    <t>Hamlin</t>
  </si>
  <si>
    <t>lhamlin</t>
  </si>
  <si>
    <t>lhamlin@dartican.com</t>
  </si>
  <si>
    <t>Ricardo</t>
  </si>
  <si>
    <t>Garcia</t>
  </si>
  <si>
    <t>rgarcia</t>
  </si>
  <si>
    <t>rgarcia@dartican.com</t>
  </si>
  <si>
    <t>Wendy</t>
  </si>
  <si>
    <t>whamlin</t>
  </si>
  <si>
    <t>whamlin@dartican.com</t>
  </si>
  <si>
    <t>Rajay</t>
  </si>
  <si>
    <t>Suren</t>
  </si>
  <si>
    <t>rsuren</t>
  </si>
  <si>
    <t>rsuren@dartican.com</t>
  </si>
  <si>
    <t>Mark</t>
  </si>
  <si>
    <t>Spinner</t>
  </si>
  <si>
    <t>mspinner</t>
  </si>
  <si>
    <t>mspinner@dartican.com</t>
  </si>
  <si>
    <t>Duane</t>
  </si>
  <si>
    <t>Alexander Lee</t>
  </si>
  <si>
    <t>dalexander lee</t>
  </si>
  <si>
    <t>dalexander lee@dartican.com</t>
  </si>
  <si>
    <t>Sanders</t>
  </si>
  <si>
    <t>rsanders</t>
  </si>
  <si>
    <t>rsanders@dartican.com</t>
  </si>
  <si>
    <t>Hector</t>
  </si>
  <si>
    <t>Lima</t>
  </si>
  <si>
    <t>hlima</t>
  </si>
  <si>
    <t>hlima@dartican.com</t>
  </si>
  <si>
    <t>Sreekanth</t>
  </si>
  <si>
    <t>Challa</t>
  </si>
  <si>
    <t>schalla</t>
  </si>
  <si>
    <t>schalla@dartican.com</t>
  </si>
  <si>
    <t>Everett</t>
  </si>
  <si>
    <t>Marshall</t>
  </si>
  <si>
    <t>emarshall</t>
  </si>
  <si>
    <t>emarshall@dartican.com</t>
  </si>
  <si>
    <t>Gilles</t>
  </si>
  <si>
    <t>Levert</t>
  </si>
  <si>
    <t>glevert</t>
  </si>
  <si>
    <t>glevert@dartican.com</t>
  </si>
  <si>
    <t>Sandeep</t>
  </si>
  <si>
    <t>Agarwal</t>
  </si>
  <si>
    <t>sagarwal</t>
  </si>
  <si>
    <t>sagarwal@dartican.com</t>
  </si>
  <si>
    <t>msweeney</t>
  </si>
  <si>
    <t>msweeney@dartican.com</t>
  </si>
  <si>
    <t>ggupta</t>
  </si>
  <si>
    <t>ggupta@dartican.com</t>
  </si>
  <si>
    <t>Rexwell</t>
  </si>
  <si>
    <t>Minnis</t>
  </si>
  <si>
    <t>rminnis</t>
  </si>
  <si>
    <t>rminnis@dartican.com</t>
  </si>
  <si>
    <t>Megan</t>
  </si>
  <si>
    <t>Coyle</t>
  </si>
  <si>
    <t>mcoyle</t>
  </si>
  <si>
    <t>mcoyle@dartican.com</t>
  </si>
  <si>
    <t>Orestes</t>
  </si>
  <si>
    <t>Melgarejo</t>
  </si>
  <si>
    <t>omelgarejo</t>
  </si>
  <si>
    <t>omelgarejo@dartican.com</t>
  </si>
  <si>
    <t>Sindhu</t>
  </si>
  <si>
    <t>Gurumurthy</t>
  </si>
  <si>
    <t>sgurumurthy</t>
  </si>
  <si>
    <t>sgurumurthy@dartican.com</t>
  </si>
  <si>
    <t>Sanjita</t>
  </si>
  <si>
    <t>Choudhary</t>
  </si>
  <si>
    <t>schoudhary</t>
  </si>
  <si>
    <t>schoudhary@dartican.com</t>
  </si>
  <si>
    <t>Martin</t>
  </si>
  <si>
    <t>Kelly</t>
  </si>
  <si>
    <t>mkelly</t>
  </si>
  <si>
    <t>mkelly@dartican.com</t>
  </si>
  <si>
    <t>Maria</t>
  </si>
  <si>
    <t>Hart</t>
  </si>
  <si>
    <t>mhart</t>
  </si>
  <si>
    <t>mhart@dartican.com</t>
  </si>
  <si>
    <t>Nick</t>
  </si>
  <si>
    <t>Earl</t>
  </si>
  <si>
    <t>nearl</t>
  </si>
  <si>
    <t>nearl@dartican.com</t>
  </si>
  <si>
    <t>Noland</t>
  </si>
  <si>
    <t>dnoland</t>
  </si>
  <si>
    <t>dnoland@dartican.com</t>
  </si>
  <si>
    <t>Harding</t>
  </si>
  <si>
    <t>charding</t>
  </si>
  <si>
    <t>charding@dartican.com</t>
  </si>
  <si>
    <t>Eileen</t>
  </si>
  <si>
    <t>D'Ippolito</t>
  </si>
  <si>
    <t>ed'ippolito</t>
  </si>
  <si>
    <t>ed'ippolito@dartican.com</t>
  </si>
  <si>
    <t>Andrew</t>
  </si>
  <si>
    <t>Prior</t>
  </si>
  <si>
    <t>aprior</t>
  </si>
  <si>
    <t>aprior@dartican.com</t>
  </si>
  <si>
    <t>Sunish</t>
  </si>
  <si>
    <t>Mannuel</t>
  </si>
  <si>
    <t>smannuel</t>
  </si>
  <si>
    <t>smannuel@dartican.com</t>
  </si>
  <si>
    <t>Angel</t>
  </si>
  <si>
    <t>Aviles</t>
  </si>
  <si>
    <t>aaviles</t>
  </si>
  <si>
    <t>aaviles@dartican.com</t>
  </si>
  <si>
    <t>Ryan</t>
  </si>
  <si>
    <t>McClure</t>
  </si>
  <si>
    <t>rmcclure</t>
  </si>
  <si>
    <t>rmcclure@dartican.com</t>
  </si>
  <si>
    <t>Bal</t>
  </si>
  <si>
    <t>jbal</t>
  </si>
  <si>
    <t>jbal@dartican.com</t>
  </si>
  <si>
    <t>Neptuno</t>
  </si>
  <si>
    <t>Moretto</t>
  </si>
  <si>
    <t>nmoretto</t>
  </si>
  <si>
    <t>nmoretto@dartican.com</t>
  </si>
  <si>
    <t>Adam</t>
  </si>
  <si>
    <t>Savoy</t>
  </si>
  <si>
    <t>asavoy</t>
  </si>
  <si>
    <t>asavoy@dartican.com</t>
  </si>
  <si>
    <t>Kedar</t>
  </si>
  <si>
    <t>Poduri</t>
  </si>
  <si>
    <t>kpoduri</t>
  </si>
  <si>
    <t>kpoduri@dartican.com</t>
  </si>
  <si>
    <t>Blake</t>
  </si>
  <si>
    <t>Chandler</t>
  </si>
  <si>
    <t>bchandler</t>
  </si>
  <si>
    <t>bchandler@dartican.com</t>
  </si>
  <si>
    <t>March</t>
  </si>
  <si>
    <t>Liao</t>
  </si>
  <si>
    <t>mliao</t>
  </si>
  <si>
    <t>mliao@dartican.com</t>
  </si>
  <si>
    <t>Jae</t>
  </si>
  <si>
    <t>Won Lee</t>
  </si>
  <si>
    <t>jwon lee</t>
  </si>
  <si>
    <t>jwon lee@dartican.com</t>
  </si>
  <si>
    <t>Sun</t>
  </si>
  <si>
    <t>tsun</t>
  </si>
  <si>
    <t>tsun@dartican.com</t>
  </si>
  <si>
    <t>Jeremiah</t>
  </si>
  <si>
    <t>Cunningham</t>
  </si>
  <si>
    <t>jcunningham</t>
  </si>
  <si>
    <t>jcunningham@dartican.com</t>
  </si>
  <si>
    <t>Tracy</t>
  </si>
  <si>
    <t>Carroll</t>
  </si>
  <si>
    <t>tcarroll</t>
  </si>
  <si>
    <t>tcarroll@dartican.com</t>
  </si>
  <si>
    <t>Brian</t>
  </si>
  <si>
    <t>Parker</t>
  </si>
  <si>
    <t>bparker</t>
  </si>
  <si>
    <t>bparker@dartican.com</t>
  </si>
  <si>
    <t>mchen</t>
  </si>
  <si>
    <t>mchen@dartican.com</t>
  </si>
  <si>
    <t>Gigi</t>
  </si>
  <si>
    <t>Guertin</t>
  </si>
  <si>
    <t>gguertin</t>
  </si>
  <si>
    <t>gguertin@dartican.com</t>
  </si>
  <si>
    <t>Scott</t>
  </si>
  <si>
    <t>Caldwell</t>
  </si>
  <si>
    <t>scaldwell</t>
  </si>
  <si>
    <t>scaldwell@dartican.com</t>
  </si>
  <si>
    <t>Ashwini</t>
  </si>
  <si>
    <t>Gurudatt</t>
  </si>
  <si>
    <t>agurudatt</t>
  </si>
  <si>
    <t>agurudatt@dartican.com</t>
  </si>
  <si>
    <t>Jay</t>
  </si>
  <si>
    <t>Thomas</t>
  </si>
  <si>
    <t>jthomas</t>
  </si>
  <si>
    <t>jthomas@dartican.com</t>
  </si>
  <si>
    <t>Jerry</t>
  </si>
  <si>
    <t>Ho</t>
  </si>
  <si>
    <t>jho</t>
  </si>
  <si>
    <t>jho@dartican.com</t>
  </si>
  <si>
    <t>rbrown</t>
  </si>
  <si>
    <t>rbrown@dartican.com</t>
  </si>
  <si>
    <t>Tammy</t>
  </si>
  <si>
    <t>Richards</t>
  </si>
  <si>
    <t>trichards</t>
  </si>
  <si>
    <t>trichards@dartican.com</t>
  </si>
  <si>
    <t>Samuel</t>
  </si>
  <si>
    <t>Cheng</t>
  </si>
  <si>
    <t>scheng</t>
  </si>
  <si>
    <t>scheng@dartican.com</t>
  </si>
  <si>
    <t>Gary</t>
  </si>
  <si>
    <t>Kirkpatrick</t>
  </si>
  <si>
    <t>gkirkpatrick</t>
  </si>
  <si>
    <t>gkirkpatrick@dartican.com</t>
  </si>
  <si>
    <t>Zejian</t>
  </si>
  <si>
    <t>Wei</t>
  </si>
  <si>
    <t>zwei</t>
  </si>
  <si>
    <t>zwei@dartican.com</t>
  </si>
  <si>
    <t>Marla</t>
  </si>
  <si>
    <t>Noble</t>
  </si>
  <si>
    <t>mnoble</t>
  </si>
  <si>
    <t>mnoble@dartican.com</t>
  </si>
  <si>
    <t>Kirit</t>
  </si>
  <si>
    <t>Chitneni</t>
  </si>
  <si>
    <t>kchitneni</t>
  </si>
  <si>
    <t>kchitneni@dartican.com</t>
  </si>
  <si>
    <t>Julia</t>
  </si>
  <si>
    <t>Scully</t>
  </si>
  <si>
    <t>jscully</t>
  </si>
  <si>
    <t>jscully@dartican.com</t>
  </si>
  <si>
    <t>Samm</t>
  </si>
  <si>
    <t>DiStasio</t>
  </si>
  <si>
    <t>sdistasio</t>
  </si>
  <si>
    <t>sdistasio@dartican.com</t>
  </si>
  <si>
    <t>Jacqueline</t>
  </si>
  <si>
    <t>Benigni</t>
  </si>
  <si>
    <t>jbenigni</t>
  </si>
  <si>
    <t>jbenigni@dartican.com</t>
  </si>
  <si>
    <t>Blacklock</t>
  </si>
  <si>
    <t>sblacklock</t>
  </si>
  <si>
    <t>sblacklock@dartican.com</t>
  </si>
  <si>
    <t>Mary-Beth</t>
  </si>
  <si>
    <t>Cardo</t>
  </si>
  <si>
    <t>mcardo</t>
  </si>
  <si>
    <t>mcardo@dartican.com</t>
  </si>
  <si>
    <t>Nicole</t>
  </si>
  <si>
    <t>Collins</t>
  </si>
  <si>
    <t>ncollins</t>
  </si>
  <si>
    <t>ncollins@dartican.com</t>
  </si>
  <si>
    <t>Maxwell</t>
  </si>
  <si>
    <t>Darby</t>
  </si>
  <si>
    <t>mdarby</t>
  </si>
  <si>
    <t>mdarby@dartican.com</t>
  </si>
  <si>
    <t>Christopher</t>
  </si>
  <si>
    <t>Doll</t>
  </si>
  <si>
    <t>cdoll</t>
  </si>
  <si>
    <t>cdoll@dartican.com</t>
  </si>
  <si>
    <t>Kelley</t>
  </si>
  <si>
    <t>Allen</t>
  </si>
  <si>
    <t>kallen</t>
  </si>
  <si>
    <t>kallen@dartican.com</t>
  </si>
  <si>
    <t>Peter</t>
  </si>
  <si>
    <t>Harvey</t>
  </si>
  <si>
    <t>pharvey</t>
  </si>
  <si>
    <t>pharvey@dartican.com</t>
  </si>
  <si>
    <t>Joshua</t>
  </si>
  <si>
    <t>Hein</t>
  </si>
  <si>
    <t>jhein</t>
  </si>
  <si>
    <t>jhein@dartican.com</t>
  </si>
  <si>
    <t>Holt</t>
  </si>
  <si>
    <t>dholt</t>
  </si>
  <si>
    <t>dholt@dartican.com</t>
  </si>
  <si>
    <t>Jensen</t>
  </si>
  <si>
    <t>rjensen</t>
  </si>
  <si>
    <t>rjensen@dartican.com</t>
  </si>
  <si>
    <t>Adrienne</t>
  </si>
  <si>
    <t>Lester</t>
  </si>
  <si>
    <t>alester</t>
  </si>
  <si>
    <t>alester@dartican.com</t>
  </si>
  <si>
    <t>Geoff</t>
  </si>
  <si>
    <t>Lewis</t>
  </si>
  <si>
    <t>glewis</t>
  </si>
  <si>
    <t>glewis@dartican.com</t>
  </si>
  <si>
    <t>Caroline</t>
  </si>
  <si>
    <t>Long</t>
  </si>
  <si>
    <t>clong</t>
  </si>
  <si>
    <t>clong@dartican.com</t>
  </si>
  <si>
    <t>Armstrong</t>
  </si>
  <si>
    <t>earmstrong</t>
  </si>
  <si>
    <t>earmstrong@dartican.com</t>
  </si>
  <si>
    <t>Nuzum</t>
  </si>
  <si>
    <t>jnuzum</t>
  </si>
  <si>
    <t>jnuzum@dartican.com</t>
  </si>
  <si>
    <t>Amanda</t>
  </si>
  <si>
    <t>Rogers</t>
  </si>
  <si>
    <t>arogers</t>
  </si>
  <si>
    <t>arogers@dartican.com</t>
  </si>
  <si>
    <t>Parimal</t>
  </si>
  <si>
    <t>Sethuraman</t>
  </si>
  <si>
    <t>psethuraman</t>
  </si>
  <si>
    <t>psethuraman@dartican.com</t>
  </si>
  <si>
    <t>jsmith</t>
  </si>
  <si>
    <t>jsmith@dartican.com</t>
  </si>
  <si>
    <t>Nate</t>
  </si>
  <si>
    <t>Spilker</t>
  </si>
  <si>
    <t>nspilker</t>
  </si>
  <si>
    <t>nspilker@dartican.com</t>
  </si>
  <si>
    <t>Lee</t>
  </si>
  <si>
    <t>Styers</t>
  </si>
  <si>
    <t>lstyers</t>
  </si>
  <si>
    <t>lstyers@dartican.com</t>
  </si>
  <si>
    <t>Leimgruber</t>
  </si>
  <si>
    <t>pleimgruber</t>
  </si>
  <si>
    <t>pleimgruber@dartican.com</t>
  </si>
  <si>
    <t>Chia</t>
  </si>
  <si>
    <t>Mei Quah</t>
  </si>
  <si>
    <t>cmei quah</t>
  </si>
  <si>
    <t>cmei quah@dartican.com</t>
  </si>
  <si>
    <t>Caoimhe</t>
  </si>
  <si>
    <t>Ni Ghiosain</t>
  </si>
  <si>
    <t>cni ghiosain</t>
  </si>
  <si>
    <t>cni ghiosain@dartican.com</t>
  </si>
  <si>
    <t>Hyungbong</t>
  </si>
  <si>
    <t>hlee</t>
  </si>
  <si>
    <t>hlee@dartican.com</t>
  </si>
  <si>
    <t>Ravindra</t>
  </si>
  <si>
    <t>Hunashimarad</t>
  </si>
  <si>
    <t>rhunashimarad</t>
  </si>
  <si>
    <t>rhunashimarad@dartican.com</t>
  </si>
  <si>
    <t>Slavica</t>
  </si>
  <si>
    <t>Simunovic</t>
  </si>
  <si>
    <t>ssimunovic</t>
  </si>
  <si>
    <t>ssimunovic@dartican.com</t>
  </si>
  <si>
    <t>Tom</t>
  </si>
  <si>
    <t>Eacobacci</t>
  </si>
  <si>
    <t>teacobacci</t>
  </si>
  <si>
    <t>teacobacci@dartican.com</t>
  </si>
  <si>
    <t>Gloria</t>
  </si>
  <si>
    <t>Ge</t>
  </si>
  <si>
    <t>gge</t>
  </si>
  <si>
    <t>gge@dartican.com</t>
  </si>
  <si>
    <t>Zhang</t>
  </si>
  <si>
    <t>pzhang</t>
  </si>
  <si>
    <t>pzhang@dartican.com</t>
  </si>
  <si>
    <t>Halley</t>
  </si>
  <si>
    <t>ahalley</t>
  </si>
  <si>
    <t>ahalley@dartican.com</t>
  </si>
  <si>
    <t>Ramesh</t>
  </si>
  <si>
    <t>Kalava</t>
  </si>
  <si>
    <t>rkalava</t>
  </si>
  <si>
    <t>rkalava@dartican.com</t>
  </si>
  <si>
    <t>Kurt</t>
  </si>
  <si>
    <t>Heusner</t>
  </si>
  <si>
    <t>kheusner</t>
  </si>
  <si>
    <t>kheusner@dartican.com</t>
  </si>
  <si>
    <t>Samit</t>
  </si>
  <si>
    <t>Halvadia</t>
  </si>
  <si>
    <t>shalvadia</t>
  </si>
  <si>
    <t>shalvadia@dartican.com</t>
  </si>
  <si>
    <t>Sheldon</t>
  </si>
  <si>
    <t>Lachambre</t>
  </si>
  <si>
    <t>slachambre</t>
  </si>
  <si>
    <t>slachambre@dartican.com</t>
  </si>
  <si>
    <t>Singleton</t>
  </si>
  <si>
    <t>rsingleton</t>
  </si>
  <si>
    <t>rsingleton@dartican.com</t>
  </si>
  <si>
    <t>Lalanne</t>
  </si>
  <si>
    <t>plalanne</t>
  </si>
  <si>
    <t>plalanne@dartican.com</t>
  </si>
  <si>
    <t>Braga</t>
  </si>
  <si>
    <t>cbraga</t>
  </si>
  <si>
    <t>cbraga@dartican.com</t>
  </si>
  <si>
    <t>sthompson</t>
  </si>
  <si>
    <t>sthompson@dartican.com</t>
  </si>
  <si>
    <t>Bill</t>
  </si>
  <si>
    <t>Aycock Jr</t>
  </si>
  <si>
    <t>baycock jr</t>
  </si>
  <si>
    <t>baycock jr@dartican.com</t>
  </si>
  <si>
    <t>Tara</t>
  </si>
  <si>
    <t>Vagalatos</t>
  </si>
  <si>
    <t>tvagalatos</t>
  </si>
  <si>
    <t>tvagalatos@dartican.com</t>
  </si>
  <si>
    <t>Roger</t>
  </si>
  <si>
    <t>Howell</t>
  </si>
  <si>
    <t>rhowell</t>
  </si>
  <si>
    <t>rhowell@dartican.com</t>
  </si>
  <si>
    <t>Parag</t>
  </si>
  <si>
    <t>Arora</t>
  </si>
  <si>
    <t>parora</t>
  </si>
  <si>
    <t>parora@dartican.com</t>
  </si>
  <si>
    <t>Fletcher</t>
  </si>
  <si>
    <t>fmartin</t>
  </si>
  <si>
    <t>fmartin@dartican.com</t>
  </si>
  <si>
    <t>Vaccaro</t>
  </si>
  <si>
    <t>jvaccaro</t>
  </si>
  <si>
    <t>jvaccaro@dartican.com</t>
  </si>
  <si>
    <t>Benfer</t>
  </si>
  <si>
    <t>bbenfer</t>
  </si>
  <si>
    <t>bbenfer@dartican.com</t>
  </si>
  <si>
    <t>Kordulewski</t>
  </si>
  <si>
    <t>skordulewski</t>
  </si>
  <si>
    <t>skordulewski@dartican.com</t>
  </si>
  <si>
    <t>Matthew</t>
  </si>
  <si>
    <t>msmith</t>
  </si>
  <si>
    <t>msmith@dartican.com</t>
  </si>
  <si>
    <t>Allan</t>
  </si>
  <si>
    <t>Reid</t>
  </si>
  <si>
    <t>areid</t>
  </si>
  <si>
    <t>areid@dartican.com</t>
  </si>
  <si>
    <t>Christian</t>
  </si>
  <si>
    <t>Laws</t>
  </si>
  <si>
    <t>claws</t>
  </si>
  <si>
    <t>claws@dartican.com</t>
  </si>
  <si>
    <t>Rajkumar</t>
  </si>
  <si>
    <t>Rajamanickam</t>
  </si>
  <si>
    <t>rrajamanickam</t>
  </si>
  <si>
    <t>rrajamanickam@dartican.com</t>
  </si>
  <si>
    <t>Keith</t>
  </si>
  <si>
    <t>Erickson</t>
  </si>
  <si>
    <t>kerickson</t>
  </si>
  <si>
    <t>kerickson@dartican.com</t>
  </si>
  <si>
    <t>Hill</t>
  </si>
  <si>
    <t>khill</t>
  </si>
  <si>
    <t>khill@dartican.com</t>
  </si>
  <si>
    <t>Caldrone</t>
  </si>
  <si>
    <t>acaldrone</t>
  </si>
  <si>
    <t>acaldrone@dartican.com</t>
  </si>
  <si>
    <t>Ware</t>
  </si>
  <si>
    <t>jware</t>
  </si>
  <si>
    <t>jware@dartican.com</t>
  </si>
  <si>
    <t>Pradeep</t>
  </si>
  <si>
    <t>Daniel</t>
  </si>
  <si>
    <t>pdaniel</t>
  </si>
  <si>
    <t>pdaniel@dartican.com</t>
  </si>
  <si>
    <t>Janna</t>
  </si>
  <si>
    <t>Hamm</t>
  </si>
  <si>
    <t>jhamm</t>
  </si>
  <si>
    <t>jhamm@dartican.com</t>
  </si>
  <si>
    <t>Chintan</t>
  </si>
  <si>
    <t>Desai</t>
  </si>
  <si>
    <t>cdesai</t>
  </si>
  <si>
    <t>cdesai@dartican.com</t>
  </si>
  <si>
    <t>Jill</t>
  </si>
  <si>
    <t>Lipman</t>
  </si>
  <si>
    <t>jlipman</t>
  </si>
  <si>
    <t>jlipman@dartican.com</t>
  </si>
  <si>
    <t>Jimenez</t>
  </si>
  <si>
    <t>jjimenez</t>
  </si>
  <si>
    <t>jjimenez@dartican.com</t>
  </si>
  <si>
    <t>Surapaneni</t>
  </si>
  <si>
    <t>rsurapaneni</t>
  </si>
  <si>
    <t>rsurapaneni@dartican.com</t>
  </si>
  <si>
    <t>Bhagyaraj</t>
  </si>
  <si>
    <t>Isaiah M</t>
  </si>
  <si>
    <t>bisaiah m</t>
  </si>
  <si>
    <t>bisaiah m@dartican.com</t>
  </si>
  <si>
    <t>Andrea</t>
  </si>
  <si>
    <t>Stone</t>
  </si>
  <si>
    <t>astone</t>
  </si>
  <si>
    <t>astone@dartican.com</t>
  </si>
  <si>
    <t>Rick</t>
  </si>
  <si>
    <t>Becker</t>
  </si>
  <si>
    <t>rbecker</t>
  </si>
  <si>
    <t>rbecker@dartican.com</t>
  </si>
  <si>
    <t>Amit</t>
  </si>
  <si>
    <t>Mohan</t>
  </si>
  <si>
    <t>amohan</t>
  </si>
  <si>
    <t>amohan@dartican.com</t>
  </si>
  <si>
    <t>Mathew</t>
  </si>
  <si>
    <t>Varghese</t>
  </si>
  <si>
    <t>mvarghese</t>
  </si>
  <si>
    <t>mvarghese@dartican.com</t>
  </si>
  <si>
    <t>Rhine</t>
  </si>
  <si>
    <t>mrhine</t>
  </si>
  <si>
    <t>mrhine@dartican.com</t>
  </si>
  <si>
    <t>Subhash</t>
  </si>
  <si>
    <t>Chandra Bose Kaja</t>
  </si>
  <si>
    <t>schandra bose kaja</t>
  </si>
  <si>
    <t>schandra bose kaja@dartican.com</t>
  </si>
  <si>
    <t>Srinivasa</t>
  </si>
  <si>
    <t>Rao Sanchula</t>
  </si>
  <si>
    <t>srao sanchula</t>
  </si>
  <si>
    <t>srao sanchula@dartican.com</t>
  </si>
  <si>
    <t>Sidhartha</t>
  </si>
  <si>
    <t>Vuppala</t>
  </si>
  <si>
    <t>svuppala</t>
  </si>
  <si>
    <t>svuppala@dartican.com</t>
  </si>
  <si>
    <t>Gray</t>
  </si>
  <si>
    <t>bgray</t>
  </si>
  <si>
    <t>bgray@dartican.com</t>
  </si>
  <si>
    <t>Sailaja</t>
  </si>
  <si>
    <t>Mada</t>
  </si>
  <si>
    <t>smada</t>
  </si>
  <si>
    <t>smada@dartican.com</t>
  </si>
  <si>
    <t>Nadeem</t>
  </si>
  <si>
    <t>Farooqui</t>
  </si>
  <si>
    <t>nfarooqui</t>
  </si>
  <si>
    <t>nfarooqui@dartican.com</t>
  </si>
  <si>
    <t>mware</t>
  </si>
  <si>
    <t>mware@dartican.com</t>
  </si>
  <si>
    <t>Emmanuel</t>
  </si>
  <si>
    <t>Schupp</t>
  </si>
  <si>
    <t>eschupp</t>
  </si>
  <si>
    <t>eschupp@dartican.com</t>
  </si>
  <si>
    <t>Bukowsky</t>
  </si>
  <si>
    <t>jbukowsky</t>
  </si>
  <si>
    <t>jbukowsky@dartican.com</t>
  </si>
  <si>
    <t>Mindy</t>
  </si>
  <si>
    <t>mcunningham</t>
  </si>
  <si>
    <t>mcunningham@dartican.com</t>
  </si>
  <si>
    <t>Frank</t>
  </si>
  <si>
    <t>Volinsky</t>
  </si>
  <si>
    <t>fvolinsky</t>
  </si>
  <si>
    <t>fvolinsky@dartican.com</t>
  </si>
  <si>
    <t>Rimma</t>
  </si>
  <si>
    <t>Polissky</t>
  </si>
  <si>
    <t>rpolissky</t>
  </si>
  <si>
    <t>rpolissky@dartican.com</t>
  </si>
  <si>
    <t>Rubin</t>
  </si>
  <si>
    <t>lrubin</t>
  </si>
  <si>
    <t>lrubin@dartican.com</t>
  </si>
  <si>
    <t>Chalan</t>
  </si>
  <si>
    <t>Aras</t>
  </si>
  <si>
    <t>caras</t>
  </si>
  <si>
    <t>caras@dartican.com</t>
  </si>
  <si>
    <t>Fan</t>
  </si>
  <si>
    <t>jfan</t>
  </si>
  <si>
    <t>jfan@dartican.com</t>
  </si>
  <si>
    <t>Charu</t>
  </si>
  <si>
    <t>Venkatraman</t>
  </si>
  <si>
    <t>cvenkatraman</t>
  </si>
  <si>
    <t>cvenkatraman@dartican.com</t>
  </si>
  <si>
    <t>sdavis</t>
  </si>
  <si>
    <t>sdavis@dartican.com</t>
  </si>
  <si>
    <t>Murphy</t>
  </si>
  <si>
    <t>mmurphy</t>
  </si>
  <si>
    <t>mmurphy@dartican.com</t>
  </si>
  <si>
    <t>Vishal</t>
  </si>
  <si>
    <t>Khare</t>
  </si>
  <si>
    <t>vkhare</t>
  </si>
  <si>
    <t>vkhare@dartican.com</t>
  </si>
  <si>
    <t>Jasiel</t>
  </si>
  <si>
    <t>Bulnes</t>
  </si>
  <si>
    <t>jbulnes</t>
  </si>
  <si>
    <t>jbulnes@dartican.com</t>
  </si>
  <si>
    <t>Wilhelm</t>
  </si>
  <si>
    <t>swilhelm</t>
  </si>
  <si>
    <t>swilhelm@dartican.com</t>
  </si>
  <si>
    <t>Russ</t>
  </si>
  <si>
    <t>Tooker</t>
  </si>
  <si>
    <t>rtooker</t>
  </si>
  <si>
    <t>rtooker@dartican.com</t>
  </si>
  <si>
    <t>Hsu</t>
  </si>
  <si>
    <t>thsu</t>
  </si>
  <si>
    <t>thsu@dartican.com</t>
  </si>
  <si>
    <t>Vicente</t>
  </si>
  <si>
    <t>jvicente</t>
  </si>
  <si>
    <t>jvicente@dartican.com</t>
  </si>
  <si>
    <t>Perla</t>
  </si>
  <si>
    <t>Lopez Espin</t>
  </si>
  <si>
    <t>plopez espin</t>
  </si>
  <si>
    <t>plopez espin@dartican.com</t>
  </si>
  <si>
    <t>Tao</t>
  </si>
  <si>
    <t>Zhan</t>
  </si>
  <si>
    <t>tzhan</t>
  </si>
  <si>
    <t>tzhan@dartican.com</t>
  </si>
  <si>
    <t>Dan</t>
  </si>
  <si>
    <t>Cote</t>
  </si>
  <si>
    <t>dcote</t>
  </si>
  <si>
    <t>dcote@dartican.com</t>
  </si>
  <si>
    <t>Cruz</t>
  </si>
  <si>
    <t>rcruz</t>
  </si>
  <si>
    <t>rcruz@dartican.com</t>
  </si>
  <si>
    <t>Marconi</t>
  </si>
  <si>
    <t>pmarconi</t>
  </si>
  <si>
    <t>pmarconi@dartican.com</t>
  </si>
  <si>
    <t>Dave</t>
  </si>
  <si>
    <t>O'Hair</t>
  </si>
  <si>
    <t>do'hair</t>
  </si>
  <si>
    <t>do'hair@dartican.com</t>
  </si>
  <si>
    <t>Pablo Villegas</t>
  </si>
  <si>
    <t>jpablo villegas</t>
  </si>
  <si>
    <t>jpablo villegas@dartican.com</t>
  </si>
  <si>
    <t>Guerrero</t>
  </si>
  <si>
    <t>mguerrero</t>
  </si>
  <si>
    <t>mguerrero@dartican.com</t>
  </si>
  <si>
    <t>Day</t>
  </si>
  <si>
    <t>dday</t>
  </si>
  <si>
    <t>dday@dartican.com</t>
  </si>
  <si>
    <t>Khanh</t>
  </si>
  <si>
    <t>Pham</t>
  </si>
  <si>
    <t>kpham</t>
  </si>
  <si>
    <t>kpham@dartican.com</t>
  </si>
  <si>
    <t>Andre</t>
  </si>
  <si>
    <t>Meirelles</t>
  </si>
  <si>
    <t>ameirelles</t>
  </si>
  <si>
    <t>ameirelles@dartican.com</t>
  </si>
  <si>
    <t>Jade</t>
  </si>
  <si>
    <t>Lim</t>
  </si>
  <si>
    <t>jlim</t>
  </si>
  <si>
    <t>jlim@dartican.com</t>
  </si>
  <si>
    <t>Sridhar</t>
  </si>
  <si>
    <t>Mullapudi</t>
  </si>
  <si>
    <t>smullapudi</t>
  </si>
  <si>
    <t>smullapudi@dartican.com</t>
  </si>
  <si>
    <t>Johnny</t>
  </si>
  <si>
    <t>jzhang</t>
  </si>
  <si>
    <t>jzhang@dartican.com</t>
  </si>
  <si>
    <t>Hong</t>
  </si>
  <si>
    <t>hhong</t>
  </si>
  <si>
    <t>hhong@dartican.com</t>
  </si>
  <si>
    <t>Luna</t>
  </si>
  <si>
    <t>jluna</t>
  </si>
  <si>
    <t>jluna@dartican.com</t>
  </si>
  <si>
    <t>Grant</t>
  </si>
  <si>
    <t>Kitching</t>
  </si>
  <si>
    <t>gkitching</t>
  </si>
  <si>
    <t>gkitching@dartican.com</t>
  </si>
  <si>
    <t>Sai</t>
  </si>
  <si>
    <t>Peyyeti</t>
  </si>
  <si>
    <t>speyyeti</t>
  </si>
  <si>
    <t>speyyeti@dartican.com</t>
  </si>
  <si>
    <t>Carolyn</t>
  </si>
  <si>
    <t>Maddox</t>
  </si>
  <si>
    <t>cmaddox</t>
  </si>
  <si>
    <t>cmaddox@dartican.com</t>
  </si>
  <si>
    <t>Aurang</t>
  </si>
  <si>
    <t>Khan</t>
  </si>
  <si>
    <t>akhan</t>
  </si>
  <si>
    <t>akhan@dartican.com</t>
  </si>
  <si>
    <t>OPA Rec'd $</t>
  </si>
  <si>
    <t>L3</t>
  </si>
  <si>
    <t>safida</t>
  </si>
  <si>
    <t>Promo Job Title</t>
  </si>
  <si>
    <t>Range Adj Inc Amt</t>
  </si>
  <si>
    <t>Lump Sum Amt</t>
  </si>
  <si>
    <t>Rec Merit Inc Amt</t>
  </si>
  <si>
    <t>Internal Equity Inc Amt</t>
  </si>
  <si>
    <t>Promo Eff Date</t>
  </si>
  <si>
    <t>Promo Inc Amt</t>
  </si>
  <si>
    <t>Promo Structure Item</t>
  </si>
  <si>
    <t>Market Adj Pct</t>
  </si>
  <si>
    <t>Other Inc Amt</t>
  </si>
  <si>
    <t>Comments</t>
  </si>
  <si>
    <t>Salary Plan User Def 2</t>
  </si>
  <si>
    <t>Salary Plan User Def 1 Amt</t>
  </si>
  <si>
    <t>Promo Structure Name</t>
  </si>
  <si>
    <t>Test</t>
  </si>
  <si>
    <t>white color</t>
  </si>
  <si>
    <t>oct</t>
  </si>
  <si>
    <t>salary note</t>
  </si>
  <si>
    <t>Black color</t>
  </si>
  <si>
    <t>Green color</t>
  </si>
  <si>
    <t>red color</t>
  </si>
  <si>
    <t>gray color</t>
  </si>
  <si>
    <t>Budget Base Amt</t>
  </si>
  <si>
    <t>Bonus Calculation Base Amt</t>
  </si>
  <si>
    <t>Currency</t>
  </si>
  <si>
    <t>Action Date</t>
  </si>
  <si>
    <t>Action Type</t>
  </si>
  <si>
    <t>Annual Increase Amt</t>
  </si>
  <si>
    <t>Annual Increase Pct</t>
  </si>
  <si>
    <t>Sanders \ Lynn</t>
  </si>
  <si>
    <t>Merit</t>
  </si>
  <si>
    <t>Is LumpSum</t>
  </si>
  <si>
    <t>Is Other</t>
  </si>
  <si>
    <t>S</t>
  </si>
  <si>
    <t>Tanya Field</t>
  </si>
  <si>
    <t>Market</t>
  </si>
  <si>
    <t>Equity</t>
  </si>
  <si>
    <t>Krendick, Jason</t>
  </si>
  <si>
    <t>Grimm, Brian</t>
  </si>
  <si>
    <t>Van Buskirk, Brian</t>
  </si>
  <si>
    <t>Waguespack, Brian</t>
  </si>
  <si>
    <t>Tgt Amount</t>
  </si>
  <si>
    <t>Tgt Pct</t>
  </si>
  <si>
    <t>Payout Date</t>
  </si>
  <si>
    <t>Corp Mult Pct</t>
  </si>
  <si>
    <t>Bonus Amount</t>
  </si>
  <si>
    <t>Bonus Pct</t>
  </si>
  <si>
    <t>Bonus Hist User Def 1</t>
  </si>
  <si>
    <t>Bonus Hist User Def 2</t>
  </si>
  <si>
    <t>Bonus Hist User Def 3</t>
  </si>
  <si>
    <t>Bonus Hist User Def 4</t>
  </si>
  <si>
    <t>Bonus Hist User Def 5</t>
  </si>
  <si>
    <t>BH UD 1</t>
  </si>
  <si>
    <t>BH UD 2</t>
  </si>
  <si>
    <t>BH UD 3</t>
  </si>
  <si>
    <t>BH UD 4</t>
  </si>
  <si>
    <t>BH UD 5</t>
  </si>
  <si>
    <t>LTI Grant Date</t>
  </si>
  <si>
    <t>Number Of Sharesxx</t>
  </si>
  <si>
    <t>Share Pricexx</t>
  </si>
  <si>
    <t>Total LTI Payout Amt</t>
  </si>
  <si>
    <t>Sanders  Lynn</t>
  </si>
  <si>
    <t>L2</t>
  </si>
  <si>
    <t>bDavis@dartican.com</t>
  </si>
  <si>
    <t>Open</t>
  </si>
  <si>
    <t>Calvin@dartican.com</t>
  </si>
  <si>
    <t>JMontana</t>
  </si>
  <si>
    <t>JMontana@dartican.com</t>
  </si>
  <si>
    <t>Nsoles</t>
  </si>
  <si>
    <t>Nsoles@dartican.com</t>
  </si>
  <si>
    <t>Jsherman</t>
  </si>
  <si>
    <t>Jsherman@dartican.com</t>
  </si>
  <si>
    <t>sDuncan@dartican.com</t>
  </si>
  <si>
    <t>Tgreen</t>
  </si>
  <si>
    <t>Atif</t>
  </si>
  <si>
    <t>sheikh</t>
  </si>
  <si>
    <t>atif@dartican.com</t>
  </si>
  <si>
    <t>Smasters@dartican.com</t>
  </si>
  <si>
    <t>Msarah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</si>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</sst>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mm/dd/yyyy"/>
    <numFmt numFmtId="166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7"/>
      <color rgb="FF1B223C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charset val="134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sz val="11"/>
      <color rgb="FF000000"/>
      <name val="Calibri"/>
      <charset val="1"/>
    </font>
    <font>
      <u/>
      <sz val="11"/>
      <color rgb="FF0000FF"/>
      <name val="Calibri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4DFE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808080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4" fontId="2" fillId="0" borderId="0" xfId="1" applyNumberFormat="1"/>
    <xf numFmtId="1" fontId="0" fillId="0" borderId="0" xfId="0" applyNumberFormat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right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43" fontId="2" fillId="0" borderId="0" xfId="1"/>
    <xf numFmtId="164" fontId="2" fillId="0" borderId="0" xfId="2" applyNumberFormat="1" applyAlignment="1">
      <alignment horizontal="center"/>
    </xf>
    <xf numFmtId="165" fontId="0" fillId="0" borderId="0" xfId="0" applyNumberFormat="1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43" fontId="0" fillId="0" borderId="0" xfId="1" applyFont="1"/>
    <xf numFmtId="9" fontId="0" fillId="0" borderId="0" xfId="0" applyNumberFormat="1" applyAlignment="1">
      <alignment horizontal="center"/>
    </xf>
    <xf numFmtId="166" fontId="2" fillId="0" borderId="0" xfId="1" applyNumberFormat="1" applyFont="1"/>
    <xf numFmtId="166" fontId="2" fillId="0" borderId="0" xfId="1" applyNumberFormat="1"/>
    <xf numFmtId="1" fontId="2" fillId="0" borderId="0" xfId="3" applyNumberFormat="1" applyAlignment="1">
      <alignment horizontal="center"/>
    </xf>
    <xf numFmtId="2" fontId="2" fillId="0" borderId="0" xfId="3" applyNumberFormat="1" applyAlignment="1">
      <alignment horizontal="center"/>
    </xf>
    <xf numFmtId="164" fontId="0" fillId="0" borderId="0" xfId="2" applyNumberFormat="1" applyFont="1" applyAlignment="1">
      <alignment horizontal="center"/>
    </xf>
    <xf numFmtId="0" fontId="0" fillId="3" borderId="0" xfId="0" applyFill="1"/>
    <xf numFmtId="0" fontId="0" fillId="4" borderId="1" xfId="0" applyFill="1" applyBorder="1"/>
    <xf numFmtId="49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4"/>
    <xf numFmtId="0" fontId="7" fillId="0" borderId="0" xfId="0" applyFont="1"/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center"/>
    </xf>
    <xf numFmtId="0" fontId="8" fillId="4" borderId="2" xfId="0" applyFont="1" applyFill="1" applyBorder="1" applyAlignment="1"/>
    <xf numFmtId="0" fontId="9" fillId="5" borderId="3" xfId="0" applyFont="1" applyFill="1" applyBorder="1" applyAlignment="1"/>
    <xf numFmtId="0" fontId="10" fillId="6" borderId="4" xfId="0" applyFont="1" applyFill="1" applyBorder="1" applyAlignment="1"/>
    <xf numFmtId="0" fontId="10" fillId="7" borderId="4" xfId="0" applyFont="1" applyFill="1" applyBorder="1" applyAlignment="1"/>
    <xf numFmtId="0" fontId="8" fillId="7" borderId="0" xfId="0" applyFont="1" applyFill="1" applyBorder="1" applyAlignment="1"/>
    <xf numFmtId="0" fontId="11" fillId="0" borderId="0" xfId="0" applyFont="1" applyFill="1" applyBorder="1" applyAlignment="1"/>
    <xf numFmtId="0" fontId="6" fillId="0" borderId="0" xfId="4" applyFill="1" applyBorder="1" applyAlignment="1"/>
    <xf numFmtId="0" fontId="8" fillId="2" borderId="0" xfId="0" applyFont="1" applyFill="1" applyBorder="1" applyAlignment="1"/>
    <xf numFmtId="14" fontId="8" fillId="0" borderId="0" xfId="0" applyNumberFormat="1" applyFont="1" applyFill="1" applyBorder="1" applyAlignment="1"/>
    <xf numFmtId="4" fontId="8" fillId="0" borderId="0" xfId="0" applyNumberFormat="1" applyFont="1" applyFill="1" applyBorder="1" applyAlignment="1"/>
    <xf numFmtId="9" fontId="8" fillId="0" borderId="0" xfId="0" applyNumberFormat="1" applyFont="1" applyFill="1" applyBorder="1" applyAlignment="1"/>
    <xf numFmtId="3" fontId="8" fillId="0" borderId="0" xfId="0" applyNumberFormat="1" applyFont="1" applyFill="1" applyBorder="1" applyAlignment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wrapText="1"/>
    </xf>
    <xf numFmtId="9" fontId="11" fillId="0" borderId="0" xfId="0" applyNumberFormat="1" applyFont="1" applyFill="1" applyBorder="1" applyAlignment="1"/>
    <xf numFmtId="3" fontId="11" fillId="0" borderId="0" xfId="0" applyNumberFormat="1" applyFont="1" applyFill="1" applyBorder="1" applyAlignment="1"/>
    <xf numFmtId="14" fontId="8" fillId="0" borderId="0" xfId="0" applyNumberFormat="1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3" fontId="11" fillId="0" borderId="0" xfId="0" applyNumberFormat="1" applyFont="1" applyFill="1" applyBorder="1" applyAlignment="1">
      <alignment wrapText="1"/>
    </xf>
    <xf numFmtId="0" fontId="8" fillId="9" borderId="0" xfId="0" applyFont="1" applyFill="1" applyBorder="1" applyAlignment="1"/>
    <xf numFmtId="9" fontId="8" fillId="0" borderId="0" xfId="0" applyNumberFormat="1" applyFont="1" applyFill="1" applyBorder="1" applyAlignment="1">
      <alignment wrapText="1"/>
    </xf>
    <xf numFmtId="3" fontId="8" fillId="0" borderId="0" xfId="0" applyNumberFormat="1" applyFont="1" applyFill="1" applyBorder="1" applyAlignment="1">
      <alignment wrapText="1"/>
    </xf>
    <xf numFmtId="0" fontId="8" fillId="8" borderId="0" xfId="0" applyFont="1" applyFill="1" applyBorder="1" applyAlignment="1">
      <alignment horizontal="center"/>
    </xf>
    <xf numFmtId="164" fontId="1" fillId="0" borderId="0" xfId="2" applyNumberFormat="1" applyFont="1" applyAlignment="1">
      <alignment horizontal="center"/>
    </xf>
    <xf numFmtId="10" fontId="1" fillId="0" borderId="0" xfId="2" applyNumberFormat="1" applyFont="1" applyAlignment="1">
      <alignment horizontal="center"/>
    </xf>
    <xf numFmtId="2" fontId="1" fillId="0" borderId="0" xfId="2" applyNumberFormat="1" applyFont="1" applyAlignment="1">
      <alignment horizontal="center"/>
    </xf>
  </cellXfs>
  <cellStyles count="5">
    <cellStyle name="Comma" xfId="1" builtinId="3"/>
    <cellStyle name="Currency" xfId="3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57150</xdr:colOff>
      <xdr:row>1</xdr:row>
      <xdr:rowOff>171450</xdr:rowOff>
    </xdr:from>
    <xdr:ext cx="200025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3A8992-E053-4C8E-9F74-92AF2B4E8D28}"/>
            </a:ext>
          </a:extLst>
        </xdr:cNvPr>
        <xdr:cNvSpPr txBox="1"/>
      </xdr:nvSpPr>
      <xdr:spPr>
        <a:xfrm>
          <a:off x="7515225" y="352425"/>
          <a:ext cx="2000250" cy="43678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 entered as percents</a:t>
          </a:r>
          <a:r>
            <a:rPr lang="en-US" sz="1100" baseline="0"/>
            <a:t> in Excel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1</xdr:row>
      <xdr:rowOff>28575</xdr:rowOff>
    </xdr:from>
    <xdr:ext cx="1905000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3E5D77-F7A5-4FD1-AAA1-9522F2899AE3}"/>
            </a:ext>
          </a:extLst>
        </xdr:cNvPr>
        <xdr:cNvSpPr txBox="1"/>
      </xdr:nvSpPr>
      <xdr:spPr>
        <a:xfrm>
          <a:off x="7677150" y="209550"/>
          <a:ext cx="1905000" cy="60901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formula driven calculated values with</a:t>
          </a:r>
          <a:r>
            <a:rPr lang="en-US" sz="1100" baseline="0"/>
            <a:t> results as percents in Excel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47625</xdr:colOff>
      <xdr:row>2</xdr:row>
      <xdr:rowOff>85725</xdr:rowOff>
    </xdr:from>
    <xdr:ext cx="190500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5490FD-0F03-B453-F37A-EC3308F4F571}"/>
            </a:ext>
          </a:extLst>
        </xdr:cNvPr>
        <xdr:cNvSpPr txBox="1"/>
      </xdr:nvSpPr>
      <xdr:spPr>
        <a:xfrm>
          <a:off x="7505700" y="447675"/>
          <a:ext cx="1905000" cy="43678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flat number values (not entered as percents)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1</xdr:row>
      <xdr:rowOff>28575</xdr:rowOff>
    </xdr:from>
    <xdr:ext cx="1905000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52EEC8-3C26-48D4-967E-89261770BF93}"/>
            </a:ext>
          </a:extLst>
        </xdr:cNvPr>
        <xdr:cNvSpPr txBox="1"/>
      </xdr:nvSpPr>
      <xdr:spPr>
        <a:xfrm>
          <a:off x="7677150" y="209550"/>
          <a:ext cx="1905000" cy="60901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formula driven calculated values with</a:t>
          </a:r>
          <a:r>
            <a:rPr lang="en-US" sz="1100" baseline="0"/>
            <a:t> results as numbers in Excel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gert/Documents/TESTING/Demo%20Mats/Test%20Data%20Loa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ies"/>
      <sheetName val="Rating Items"/>
      <sheetName val="Salary Structure Items"/>
      <sheetName val="Employee Information"/>
      <sheetName val="Employee Bonus Plans"/>
      <sheetName val="Employee Bonus Plansxxx"/>
      <sheetName val="Employee LTI Plans"/>
      <sheetName val="Sheet2"/>
      <sheetName val="Employee Salary History"/>
      <sheetName val="Employee Bonus History"/>
      <sheetName val="Employee LTI History"/>
      <sheetName val="Employee Credentials"/>
      <sheetName val="Employee Collaborators"/>
      <sheetName val="Bonus Plan Salary Structur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LSE@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dtucker@dartican.com" TargetMode="External"/><Relationship Id="rId2" Type="http://schemas.openxmlformats.org/officeDocument/2006/relationships/hyperlink" Target="mailto:msarah@dartican.com" TargetMode="External"/><Relationship Id="rId1" Type="http://schemas.openxmlformats.org/officeDocument/2006/relationships/hyperlink" Target="mailto:msarah@dartican.com" TargetMode="External"/><Relationship Id="rId6" Type="http://schemas.openxmlformats.org/officeDocument/2006/relationships/hyperlink" Target="mailto:jward@dartican.com" TargetMode="External"/><Relationship Id="rId5" Type="http://schemas.openxmlformats.org/officeDocument/2006/relationships/hyperlink" Target="mailto:jward@dartican.com" TargetMode="External"/><Relationship Id="rId4" Type="http://schemas.openxmlformats.org/officeDocument/2006/relationships/hyperlink" Target="mailto:dtucker@dartican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hyperlink" Target="mailto:Smasters@dartican.com" TargetMode="External"/><Relationship Id="rId1" Type="http://schemas.openxmlformats.org/officeDocument/2006/relationships/hyperlink" Target="mailto:Smasters@dartic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E15" sqref="E15"/>
    </sheetView>
  </sheetViews>
  <sheetFormatPr defaultRowHeight="14.45"/>
  <cols>
    <col min="1" max="1" width="13" bestFit="1" customWidth="1"/>
    <col min="2" max="2" width="16" bestFit="1" customWidth="1"/>
    <col min="3" max="3" width="15.85546875" bestFit="1" customWidth="1"/>
    <col min="4" max="4" width="21.42578125" style="1" bestFit="1" customWidth="1"/>
    <col min="5" max="5" width="12.85546875" bestFit="1" customWidth="1"/>
    <col min="6" max="7" width="15.7109375" bestFit="1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7" ht="15">
      <c r="A2" s="1" t="s">
        <v>6</v>
      </c>
      <c r="B2" t="s">
        <v>7</v>
      </c>
      <c r="C2" s="8"/>
      <c r="D2" s="30"/>
      <c r="E2" s="1">
        <v>1</v>
      </c>
      <c r="F2" s="9"/>
      <c r="G2" s="1" t="s">
        <v>8</v>
      </c>
    </row>
    <row r="3" spans="1:7" ht="15">
      <c r="A3" s="1" t="s">
        <v>9</v>
      </c>
      <c r="B3" t="s">
        <v>10</v>
      </c>
      <c r="C3" s="8"/>
      <c r="D3" s="30"/>
      <c r="E3" s="1">
        <v>2</v>
      </c>
      <c r="F3" s="9"/>
      <c r="G3" s="1" t="s">
        <v>8</v>
      </c>
    </row>
    <row r="4" spans="1:7" ht="15">
      <c r="A4" s="1" t="s">
        <v>11</v>
      </c>
      <c r="B4" t="s">
        <v>12</v>
      </c>
      <c r="C4" s="25"/>
      <c r="D4" s="30"/>
      <c r="E4" s="1">
        <v>3</v>
      </c>
      <c r="F4" s="2"/>
      <c r="G4" s="1" t="s">
        <v>8</v>
      </c>
    </row>
    <row r="5" spans="1:7" ht="21" customHeight="1">
      <c r="A5" s="1" t="s">
        <v>13</v>
      </c>
      <c r="B5" t="s">
        <v>14</v>
      </c>
      <c r="C5" s="25"/>
      <c r="D5" s="30"/>
      <c r="E5" s="1">
        <v>4</v>
      </c>
      <c r="F5" s="2"/>
      <c r="G5" s="1" t="s">
        <v>15</v>
      </c>
    </row>
    <row r="6" spans="1:7" ht="15">
      <c r="A6" s="1" t="s">
        <v>16</v>
      </c>
      <c r="B6" t="s">
        <v>17</v>
      </c>
      <c r="C6" s="25"/>
      <c r="D6" s="30"/>
      <c r="E6" s="1">
        <v>5</v>
      </c>
      <c r="F6" s="2"/>
      <c r="G6" s="1" t="s">
        <v>18</v>
      </c>
    </row>
    <row r="7" spans="1:7" ht="15">
      <c r="A7" s="1" t="s">
        <v>19</v>
      </c>
      <c r="B7" t="s">
        <v>20</v>
      </c>
      <c r="C7" s="25"/>
      <c r="D7" s="30"/>
      <c r="E7" s="1">
        <v>6</v>
      </c>
      <c r="F7" s="2"/>
      <c r="G7" s="1" t="s">
        <v>21</v>
      </c>
    </row>
    <row r="8" spans="1:7" ht="15">
      <c r="A8" s="1" t="s">
        <v>22</v>
      </c>
      <c r="B8" t="s">
        <v>23</v>
      </c>
      <c r="C8" s="25"/>
      <c r="D8" s="30"/>
      <c r="E8" s="1">
        <v>7</v>
      </c>
      <c r="F8" s="2"/>
      <c r="G8" s="1" t="s">
        <v>24</v>
      </c>
    </row>
    <row r="9" spans="1:7" ht="15">
      <c r="A9" s="1" t="s">
        <v>25</v>
      </c>
      <c r="B9" t="s">
        <v>26</v>
      </c>
      <c r="C9" s="25"/>
      <c r="D9" s="30"/>
      <c r="E9" s="1">
        <v>8</v>
      </c>
      <c r="F9" s="2"/>
      <c r="G9" s="1" t="s">
        <v>27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B1" sqref="B1"/>
    </sheetView>
  </sheetViews>
  <sheetFormatPr defaultRowHeight="14.45"/>
  <cols>
    <col min="1" max="2" width="30.5703125" customWidth="1"/>
    <col min="3" max="3" width="14.85546875" customWidth="1"/>
    <col min="4" max="4" width="16.28515625" customWidth="1"/>
    <col min="5" max="5" width="15.7109375" customWidth="1"/>
  </cols>
  <sheetData>
    <row r="1" spans="1:5" ht="1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ht="15">
      <c r="A2">
        <v>1</v>
      </c>
      <c r="B2">
        <v>1</v>
      </c>
      <c r="C2" s="6">
        <v>1</v>
      </c>
      <c r="D2" s="7">
        <v>0</v>
      </c>
    </row>
    <row r="3" spans="1:5" ht="15">
      <c r="A3">
        <v>2</v>
      </c>
      <c r="B3">
        <v>2</v>
      </c>
      <c r="C3" s="6">
        <v>2</v>
      </c>
      <c r="D3" s="7">
        <v>0.1</v>
      </c>
    </row>
    <row r="4" spans="1:5" ht="15">
      <c r="A4">
        <v>3</v>
      </c>
      <c r="B4">
        <v>3</v>
      </c>
      <c r="C4" s="6">
        <v>3</v>
      </c>
      <c r="D4" s="7">
        <v>0.55000000000000004</v>
      </c>
    </row>
    <row r="5" spans="1:5" ht="15">
      <c r="A5">
        <v>4</v>
      </c>
      <c r="B5">
        <v>4</v>
      </c>
      <c r="C5" s="6">
        <v>4</v>
      </c>
      <c r="D5" s="7">
        <v>0.25</v>
      </c>
    </row>
    <row r="6" spans="1:5" ht="15">
      <c r="A6">
        <v>5</v>
      </c>
      <c r="B6">
        <v>5</v>
      </c>
      <c r="C6" s="6">
        <v>5</v>
      </c>
      <c r="D6" s="7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B2E1-9B87-43B1-801B-D65010EDAD12}">
  <dimension ref="A1:E21"/>
  <sheetViews>
    <sheetView workbookViewId="0">
      <selection activeCell="I8" sqref="I8"/>
    </sheetView>
  </sheetViews>
  <sheetFormatPr defaultRowHeight="14.45"/>
  <cols>
    <col min="1" max="1" width="14.42578125" bestFit="1" customWidth="1"/>
    <col min="2" max="2" width="11.42578125" bestFit="1" customWidth="1"/>
    <col min="3" max="3" width="17.5703125" customWidth="1"/>
    <col min="4" max="4" width="19.5703125" customWidth="1"/>
    <col min="5" max="5" width="15.28515625" bestFit="1" customWidth="1"/>
  </cols>
  <sheetData>
    <row r="1" spans="1:5">
      <c r="A1" t="s">
        <v>33</v>
      </c>
      <c r="B1" t="s">
        <v>32</v>
      </c>
      <c r="C1" t="s">
        <v>34</v>
      </c>
      <c r="D1" t="s">
        <v>35</v>
      </c>
      <c r="E1" t="s">
        <v>36</v>
      </c>
    </row>
    <row r="2" spans="1:5">
      <c r="C2" t="s">
        <v>37</v>
      </c>
      <c r="D2">
        <v>1</v>
      </c>
      <c r="E2">
        <v>80</v>
      </c>
    </row>
    <row r="3" spans="1:5">
      <c r="C3" t="s">
        <v>38</v>
      </c>
      <c r="D3">
        <v>2</v>
      </c>
      <c r="E3">
        <v>100</v>
      </c>
    </row>
    <row r="4" spans="1:5">
      <c r="C4" t="s">
        <v>39</v>
      </c>
      <c r="D4">
        <v>3</v>
      </c>
      <c r="E4">
        <v>115</v>
      </c>
    </row>
    <row r="5" spans="1:5">
      <c r="C5" t="s">
        <v>40</v>
      </c>
      <c r="D5">
        <v>4</v>
      </c>
      <c r="E5">
        <v>135</v>
      </c>
    </row>
    <row r="6" spans="1:5">
      <c r="A6" t="s">
        <v>41</v>
      </c>
      <c r="C6" t="s">
        <v>37</v>
      </c>
      <c r="D6">
        <v>1</v>
      </c>
      <c r="E6">
        <v>80</v>
      </c>
    </row>
    <row r="7" spans="1:5">
      <c r="A7" t="s">
        <v>41</v>
      </c>
      <c r="C7" t="s">
        <v>38</v>
      </c>
      <c r="D7">
        <v>2</v>
      </c>
      <c r="E7">
        <v>100</v>
      </c>
    </row>
    <row r="8" spans="1:5">
      <c r="A8" t="s">
        <v>41</v>
      </c>
      <c r="C8" t="s">
        <v>39</v>
      </c>
      <c r="D8">
        <v>3</v>
      </c>
      <c r="E8">
        <v>115</v>
      </c>
    </row>
    <row r="9" spans="1:5">
      <c r="A9" t="s">
        <v>41</v>
      </c>
      <c r="C9" t="s">
        <v>40</v>
      </c>
      <c r="D9">
        <v>4</v>
      </c>
      <c r="E9">
        <v>135</v>
      </c>
    </row>
    <row r="10" spans="1:5">
      <c r="A10" t="s">
        <v>42</v>
      </c>
      <c r="C10" t="s">
        <v>37</v>
      </c>
      <c r="D10">
        <v>1</v>
      </c>
      <c r="E10">
        <v>80</v>
      </c>
    </row>
    <row r="11" spans="1:5">
      <c r="A11" t="s">
        <v>43</v>
      </c>
      <c r="C11" t="s">
        <v>38</v>
      </c>
      <c r="D11">
        <v>2</v>
      </c>
      <c r="E11">
        <v>100</v>
      </c>
    </row>
    <row r="12" spans="1:5">
      <c r="A12" t="s">
        <v>43</v>
      </c>
      <c r="C12" t="s">
        <v>39</v>
      </c>
      <c r="D12">
        <v>3</v>
      </c>
      <c r="E12">
        <v>115</v>
      </c>
    </row>
    <row r="13" spans="1:5">
      <c r="A13" t="s">
        <v>43</v>
      </c>
      <c r="C13" t="s">
        <v>40</v>
      </c>
      <c r="D13">
        <v>4</v>
      </c>
      <c r="E13">
        <v>135</v>
      </c>
    </row>
    <row r="14" spans="1:5">
      <c r="A14" t="s">
        <v>44</v>
      </c>
      <c r="C14" t="s">
        <v>37</v>
      </c>
      <c r="D14">
        <v>1</v>
      </c>
      <c r="E14">
        <v>80</v>
      </c>
    </row>
    <row r="15" spans="1:5">
      <c r="A15" t="s">
        <v>44</v>
      </c>
      <c r="C15" t="s">
        <v>38</v>
      </c>
      <c r="D15">
        <v>2</v>
      </c>
      <c r="E15">
        <v>100</v>
      </c>
    </row>
    <row r="16" spans="1:5">
      <c r="A16" t="s">
        <v>44</v>
      </c>
      <c r="C16" t="s">
        <v>39</v>
      </c>
      <c r="D16">
        <v>3</v>
      </c>
      <c r="E16">
        <v>115</v>
      </c>
    </row>
    <row r="17" spans="1:5">
      <c r="A17" t="s">
        <v>44</v>
      </c>
      <c r="C17" t="s">
        <v>40</v>
      </c>
      <c r="D17">
        <v>4</v>
      </c>
      <c r="E17">
        <v>135</v>
      </c>
    </row>
    <row r="18" spans="1:5">
      <c r="A18" t="s">
        <v>45</v>
      </c>
      <c r="C18" t="s">
        <v>37</v>
      </c>
      <c r="D18">
        <v>1</v>
      </c>
      <c r="E18">
        <v>70</v>
      </c>
    </row>
    <row r="19" spans="1:5">
      <c r="A19" t="s">
        <v>45</v>
      </c>
      <c r="C19" t="s">
        <v>38</v>
      </c>
      <c r="D19">
        <v>2</v>
      </c>
      <c r="E19">
        <v>80</v>
      </c>
    </row>
    <row r="20" spans="1:5">
      <c r="A20" t="s">
        <v>45</v>
      </c>
      <c r="C20" t="s">
        <v>39</v>
      </c>
      <c r="D20">
        <v>3</v>
      </c>
      <c r="E20">
        <v>90</v>
      </c>
    </row>
    <row r="21" spans="1:5">
      <c r="A21" t="s">
        <v>45</v>
      </c>
      <c r="C21" t="s">
        <v>40</v>
      </c>
      <c r="D21">
        <v>4</v>
      </c>
      <c r="E2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E0AF-1E3C-43F5-A06E-B9A4638639C8}">
  <dimension ref="A1:Q8"/>
  <sheetViews>
    <sheetView workbookViewId="0">
      <selection activeCell="E18" sqref="E18"/>
    </sheetView>
  </sheetViews>
  <sheetFormatPr defaultRowHeight="14.45"/>
  <cols>
    <col min="1" max="1" width="18.7109375" bestFit="1" customWidth="1"/>
    <col min="2" max="2" width="12.5703125" bestFit="1" customWidth="1"/>
    <col min="3" max="3" width="16.5703125" bestFit="1" customWidth="1"/>
    <col min="4" max="4" width="14.28515625" bestFit="1" customWidth="1"/>
    <col min="5" max="5" width="15.7109375" bestFit="1" customWidth="1"/>
    <col min="6" max="6" width="20.5703125" bestFit="1" customWidth="1"/>
    <col min="7" max="7" width="22.28515625" bestFit="1" customWidth="1"/>
    <col min="8" max="8" width="18.28515625" bestFit="1" customWidth="1"/>
    <col min="9" max="9" width="14.7109375" bestFit="1" customWidth="1"/>
    <col min="10" max="10" width="18.7109375" bestFit="1" customWidth="1"/>
    <col min="11" max="11" width="22" bestFit="1" customWidth="1"/>
    <col min="12" max="12" width="15.5703125" bestFit="1" customWidth="1"/>
    <col min="13" max="13" width="19.28515625" bestFit="1" customWidth="1"/>
    <col min="14" max="14" width="14.85546875" bestFit="1" customWidth="1"/>
    <col min="15" max="16" width="18.28515625" bestFit="1" customWidth="1"/>
    <col min="17" max="17" width="11.28515625" bestFit="1" customWidth="1"/>
  </cols>
  <sheetData>
    <row r="1" spans="1:17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0</v>
      </c>
      <c r="F1" s="24" t="s">
        <v>50</v>
      </c>
      <c r="G1" s="24" t="s">
        <v>51</v>
      </c>
      <c r="H1" s="24" t="s">
        <v>52</v>
      </c>
      <c r="I1" s="24" t="s">
        <v>53</v>
      </c>
      <c r="J1" s="24" t="s">
        <v>54</v>
      </c>
      <c r="K1" s="24" t="s">
        <v>55</v>
      </c>
      <c r="L1" s="24" t="s">
        <v>56</v>
      </c>
      <c r="M1" s="24" t="s">
        <v>57</v>
      </c>
      <c r="N1" s="24" t="s">
        <v>58</v>
      </c>
      <c r="O1" s="24" t="s">
        <v>59</v>
      </c>
      <c r="P1" s="24" t="s">
        <v>60</v>
      </c>
      <c r="Q1" s="24" t="s">
        <v>61</v>
      </c>
    </row>
    <row r="2" spans="1:17" ht="19.899999999999999" customHeight="1">
      <c r="A2" t="s">
        <v>62</v>
      </c>
      <c r="B2" t="s">
        <v>63</v>
      </c>
      <c r="C2">
        <v>40</v>
      </c>
      <c r="D2">
        <v>20</v>
      </c>
      <c r="G2">
        <v>4000</v>
      </c>
      <c r="H2" t="s">
        <v>64</v>
      </c>
      <c r="I2" t="s">
        <v>63</v>
      </c>
      <c r="J2">
        <v>0</v>
      </c>
      <c r="K2">
        <v>0</v>
      </c>
      <c r="L2">
        <v>1</v>
      </c>
      <c r="M2">
        <v>1</v>
      </c>
      <c r="N2">
        <v>0</v>
      </c>
      <c r="O2" t="s">
        <v>63</v>
      </c>
      <c r="P2" t="s">
        <v>65</v>
      </c>
      <c r="Q2" t="s">
        <v>64</v>
      </c>
    </row>
    <row r="3" spans="1:17" ht="21.6" customHeight="1">
      <c r="A3" t="s">
        <v>66</v>
      </c>
      <c r="B3" t="s">
        <v>65</v>
      </c>
      <c r="C3">
        <v>30</v>
      </c>
      <c r="D3">
        <v>10</v>
      </c>
      <c r="E3" t="s">
        <v>6</v>
      </c>
      <c r="F3">
        <v>6000</v>
      </c>
      <c r="G3">
        <v>2000</v>
      </c>
      <c r="H3" t="s">
        <v>64</v>
      </c>
      <c r="I3" t="s">
        <v>63</v>
      </c>
      <c r="J3">
        <v>0</v>
      </c>
      <c r="K3">
        <v>0</v>
      </c>
      <c r="L3">
        <v>1</v>
      </c>
      <c r="M3">
        <v>1</v>
      </c>
      <c r="N3">
        <v>0</v>
      </c>
      <c r="O3" t="s">
        <v>63</v>
      </c>
      <c r="P3" t="s">
        <v>65</v>
      </c>
      <c r="Q3" t="s">
        <v>64</v>
      </c>
    </row>
    <row r="4" spans="1:17" ht="19.899999999999999" customHeight="1">
      <c r="A4" t="s">
        <v>67</v>
      </c>
      <c r="C4">
        <v>40</v>
      </c>
      <c r="D4">
        <v>30</v>
      </c>
      <c r="E4" t="s">
        <v>6</v>
      </c>
      <c r="F4">
        <v>7000</v>
      </c>
      <c r="G4">
        <v>3000</v>
      </c>
      <c r="H4" t="s">
        <v>64</v>
      </c>
      <c r="I4" t="s">
        <v>63</v>
      </c>
      <c r="J4">
        <v>0</v>
      </c>
      <c r="K4">
        <v>0</v>
      </c>
      <c r="L4">
        <v>1</v>
      </c>
      <c r="M4">
        <v>1</v>
      </c>
      <c r="N4">
        <v>0</v>
      </c>
      <c r="O4" t="s">
        <v>63</v>
      </c>
      <c r="P4" t="s">
        <v>65</v>
      </c>
      <c r="Q4" t="s">
        <v>64</v>
      </c>
    </row>
    <row r="5" spans="1:17" ht="21.6" customHeight="1">
      <c r="A5" t="s">
        <v>68</v>
      </c>
      <c r="C5">
        <v>50</v>
      </c>
      <c r="D5">
        <v>40</v>
      </c>
      <c r="E5" t="s">
        <v>9</v>
      </c>
      <c r="F5">
        <v>20000</v>
      </c>
      <c r="G5">
        <v>1000</v>
      </c>
      <c r="H5" t="s">
        <v>64</v>
      </c>
      <c r="I5" t="s">
        <v>63</v>
      </c>
      <c r="J5">
        <v>0</v>
      </c>
      <c r="K5">
        <v>0</v>
      </c>
      <c r="L5">
        <v>1</v>
      </c>
      <c r="M5">
        <v>1</v>
      </c>
      <c r="N5">
        <v>0</v>
      </c>
      <c r="O5" t="s">
        <v>63</v>
      </c>
      <c r="P5" t="s">
        <v>65</v>
      </c>
      <c r="Q5" t="s">
        <v>64</v>
      </c>
    </row>
    <row r="6" spans="1:17" ht="22.15" customHeight="1">
      <c r="A6" t="s">
        <v>69</v>
      </c>
      <c r="B6">
        <v>0</v>
      </c>
      <c r="C6">
        <v>20</v>
      </c>
      <c r="D6">
        <v>50</v>
      </c>
      <c r="E6" t="s">
        <v>6</v>
      </c>
      <c r="F6">
        <v>40000</v>
      </c>
      <c r="G6">
        <v>100</v>
      </c>
      <c r="H6" t="s">
        <v>64</v>
      </c>
      <c r="I6" t="s">
        <v>63</v>
      </c>
      <c r="J6">
        <v>0</v>
      </c>
      <c r="K6">
        <v>0</v>
      </c>
      <c r="L6">
        <v>1</v>
      </c>
      <c r="M6">
        <v>1</v>
      </c>
      <c r="N6">
        <v>0</v>
      </c>
      <c r="O6" t="s">
        <v>63</v>
      </c>
      <c r="P6" t="s">
        <v>65</v>
      </c>
      <c r="Q6" t="s">
        <v>64</v>
      </c>
    </row>
    <row r="7" spans="1:17" ht="22.15" customHeight="1">
      <c r="A7" t="s">
        <v>70</v>
      </c>
      <c r="B7">
        <v>1</v>
      </c>
      <c r="C7">
        <v>20</v>
      </c>
      <c r="D7">
        <v>15</v>
      </c>
      <c r="F7">
        <v>50000</v>
      </c>
      <c r="G7">
        <v>200</v>
      </c>
      <c r="H7" t="s">
        <v>64</v>
      </c>
      <c r="I7" t="s">
        <v>63</v>
      </c>
      <c r="J7">
        <v>0</v>
      </c>
      <c r="K7">
        <v>0</v>
      </c>
      <c r="L7">
        <v>1</v>
      </c>
      <c r="M7">
        <v>1</v>
      </c>
      <c r="N7">
        <v>0</v>
      </c>
      <c r="O7" t="s">
        <v>63</v>
      </c>
      <c r="P7" t="s">
        <v>65</v>
      </c>
      <c r="Q7" t="s">
        <v>64</v>
      </c>
    </row>
    <row r="8" spans="1:17" ht="21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526A-97E0-434C-AA9D-E3973497811D}">
  <dimension ref="A1:K7"/>
  <sheetViews>
    <sheetView workbookViewId="0">
      <selection activeCell="A7" sqref="A7"/>
    </sheetView>
  </sheetViews>
  <sheetFormatPr defaultRowHeight="15"/>
  <cols>
    <col min="1" max="1" width="17.140625" bestFit="1" customWidth="1"/>
    <col min="2" max="2" width="13.7109375" bestFit="1" customWidth="1"/>
    <col min="3" max="3" width="12.5703125" customWidth="1"/>
    <col min="4" max="4" width="13.28515625" bestFit="1" customWidth="1"/>
    <col min="5" max="5" width="15.5703125" bestFit="1" customWidth="1"/>
    <col min="6" max="6" width="21.28515625" bestFit="1" customWidth="1"/>
    <col min="7" max="7" width="14.28515625" bestFit="1" customWidth="1"/>
    <col min="8" max="8" width="18.140625" bestFit="1" customWidth="1"/>
    <col min="9" max="9" width="13.5703125" bestFit="1" customWidth="1"/>
    <col min="10" max="11" width="19.140625" bestFit="1" customWidth="1"/>
  </cols>
  <sheetData>
    <row r="1" spans="1:11">
      <c r="A1" s="31" t="s">
        <v>46</v>
      </c>
      <c r="B1" s="31" t="s">
        <v>71</v>
      </c>
      <c r="C1" s="31" t="s">
        <v>72</v>
      </c>
      <c r="D1" s="31" t="s">
        <v>73</v>
      </c>
      <c r="E1" s="31" t="s">
        <v>74</v>
      </c>
      <c r="F1" s="31" t="s">
        <v>75</v>
      </c>
      <c r="G1" s="31" t="s">
        <v>76</v>
      </c>
      <c r="H1" s="31" t="s">
        <v>77</v>
      </c>
      <c r="I1" s="31" t="s">
        <v>78</v>
      </c>
      <c r="J1" s="31" t="s">
        <v>79</v>
      </c>
      <c r="K1" s="31" t="s">
        <v>80</v>
      </c>
    </row>
    <row r="2" spans="1:11">
      <c r="A2" t="s">
        <v>62</v>
      </c>
      <c r="B2" t="s">
        <v>81</v>
      </c>
      <c r="C2">
        <v>1</v>
      </c>
    </row>
    <row r="3" spans="1:11">
      <c r="A3" t="s">
        <v>66</v>
      </c>
      <c r="B3" t="s">
        <v>82</v>
      </c>
    </row>
    <row r="4" spans="1:11">
      <c r="A4" t="s">
        <v>67</v>
      </c>
      <c r="B4" t="s">
        <v>83</v>
      </c>
      <c r="C4">
        <v>1</v>
      </c>
    </row>
    <row r="5" spans="1:11">
      <c r="A5" t="s">
        <v>68</v>
      </c>
      <c r="B5" t="s">
        <v>84</v>
      </c>
    </row>
    <row r="6" spans="1:11">
      <c r="A6" t="s">
        <v>69</v>
      </c>
      <c r="B6" t="s">
        <v>85</v>
      </c>
      <c r="C6">
        <v>2</v>
      </c>
    </row>
    <row r="7" spans="1:11">
      <c r="A7" t="s">
        <v>70</v>
      </c>
      <c r="B7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6185-BFD8-4D53-A081-0EE8E882126B}">
  <dimension ref="A1:O45"/>
  <sheetViews>
    <sheetView workbookViewId="0">
      <selection activeCell="C12" sqref="C12"/>
    </sheetView>
  </sheetViews>
  <sheetFormatPr defaultRowHeight="15"/>
  <cols>
    <col min="1" max="1" width="15.7109375" customWidth="1"/>
    <col min="2" max="4" width="18.28515625" customWidth="1"/>
    <col min="5" max="5" width="14.85546875" customWidth="1"/>
    <col min="6" max="6" width="21.42578125" customWidth="1"/>
    <col min="7" max="7" width="17.140625" bestFit="1" customWidth="1"/>
    <col min="8" max="8" width="17.42578125" bestFit="1" customWidth="1"/>
    <col min="9" max="9" width="13.5703125" bestFit="1" customWidth="1"/>
    <col min="10" max="10" width="17.140625" bestFit="1" customWidth="1"/>
    <col min="11" max="11" width="12.5703125" bestFit="1" customWidth="1"/>
    <col min="15" max="15" width="11.85546875" bestFit="1" customWidth="1"/>
  </cols>
  <sheetData>
    <row r="1" spans="1:11">
      <c r="A1" s="29" t="s">
        <v>87</v>
      </c>
      <c r="B1" s="29" t="s">
        <v>88</v>
      </c>
      <c r="C1" s="29" t="s">
        <v>89</v>
      </c>
      <c r="D1" s="29" t="s">
        <v>90</v>
      </c>
      <c r="E1" s="29" t="s">
        <v>91</v>
      </c>
      <c r="F1" s="29" t="s">
        <v>92</v>
      </c>
      <c r="G1" s="29" t="s">
        <v>93</v>
      </c>
      <c r="H1" s="29" t="s">
        <v>94</v>
      </c>
      <c r="I1" s="29" t="s">
        <v>0</v>
      </c>
      <c r="J1" s="29" t="s">
        <v>46</v>
      </c>
      <c r="K1" t="s">
        <v>95</v>
      </c>
    </row>
    <row r="2" spans="1:11">
      <c r="A2" s="29" t="s">
        <v>96</v>
      </c>
      <c r="B2" s="29"/>
      <c r="C2" s="29" t="s">
        <v>97</v>
      </c>
      <c r="D2" s="32" t="s">
        <v>97</v>
      </c>
      <c r="E2" s="32" t="s">
        <v>97</v>
      </c>
      <c r="F2" s="33">
        <v>12400</v>
      </c>
      <c r="G2" s="33">
        <v>15200</v>
      </c>
      <c r="H2" s="33">
        <v>19100</v>
      </c>
      <c r="I2" s="29" t="s">
        <v>6</v>
      </c>
      <c r="J2" s="29"/>
      <c r="K2">
        <v>1</v>
      </c>
    </row>
    <row r="3" spans="1:11">
      <c r="A3" s="29" t="s">
        <v>96</v>
      </c>
      <c r="B3" s="29"/>
      <c r="C3" s="29" t="s">
        <v>98</v>
      </c>
      <c r="D3" s="32" t="s">
        <v>98</v>
      </c>
      <c r="E3" s="32" t="s">
        <v>98</v>
      </c>
      <c r="F3" s="33">
        <v>15400</v>
      </c>
      <c r="G3" s="33">
        <v>19200</v>
      </c>
      <c r="H3" s="33">
        <v>23100</v>
      </c>
      <c r="I3" s="29" t="s">
        <v>6</v>
      </c>
      <c r="J3" s="29"/>
      <c r="K3">
        <v>2</v>
      </c>
    </row>
    <row r="4" spans="1:11">
      <c r="A4" s="29" t="s">
        <v>96</v>
      </c>
      <c r="B4" s="29"/>
      <c r="C4" s="29" t="s">
        <v>99</v>
      </c>
      <c r="D4" s="32" t="s">
        <v>99</v>
      </c>
      <c r="E4" s="32" t="s">
        <v>99</v>
      </c>
      <c r="F4" s="33">
        <v>16000</v>
      </c>
      <c r="G4" s="33">
        <v>20000</v>
      </c>
      <c r="H4" s="33">
        <v>30000</v>
      </c>
      <c r="I4" s="29" t="s">
        <v>6</v>
      </c>
      <c r="J4" s="29"/>
      <c r="K4">
        <v>3</v>
      </c>
    </row>
    <row r="5" spans="1:11">
      <c r="A5" s="29" t="s">
        <v>96</v>
      </c>
      <c r="B5" s="29"/>
      <c r="C5" s="29" t="s">
        <v>100</v>
      </c>
      <c r="D5" s="32" t="s">
        <v>100</v>
      </c>
      <c r="E5" s="32" t="s">
        <v>100</v>
      </c>
      <c r="F5" s="33">
        <v>23700</v>
      </c>
      <c r="G5" s="33">
        <v>31500</v>
      </c>
      <c r="H5" s="33">
        <v>39400</v>
      </c>
      <c r="I5" s="29" t="s">
        <v>6</v>
      </c>
      <c r="J5" s="29"/>
      <c r="K5">
        <v>4</v>
      </c>
    </row>
    <row r="6" spans="1:11">
      <c r="A6" s="29" t="s">
        <v>96</v>
      </c>
      <c r="B6" s="29"/>
      <c r="C6" s="29" t="s">
        <v>101</v>
      </c>
      <c r="D6" s="32" t="s">
        <v>101</v>
      </c>
      <c r="E6" s="32" t="s">
        <v>101</v>
      </c>
      <c r="F6" s="33">
        <v>29400</v>
      </c>
      <c r="G6" s="33">
        <v>42000</v>
      </c>
      <c r="H6" s="33">
        <v>54600</v>
      </c>
      <c r="I6" s="29" t="s">
        <v>6</v>
      </c>
      <c r="J6" s="29"/>
      <c r="K6">
        <v>5</v>
      </c>
    </row>
    <row r="7" spans="1:11">
      <c r="A7" s="29" t="s">
        <v>96</v>
      </c>
      <c r="B7" s="29"/>
      <c r="C7" s="29" t="s">
        <v>102</v>
      </c>
      <c r="D7" s="32" t="s">
        <v>102</v>
      </c>
      <c r="E7" s="32" t="s">
        <v>102</v>
      </c>
      <c r="F7" s="33">
        <v>36200</v>
      </c>
      <c r="G7" s="33">
        <v>51600</v>
      </c>
      <c r="H7" s="33">
        <v>67100</v>
      </c>
      <c r="I7" s="29" t="s">
        <v>6</v>
      </c>
      <c r="J7" s="29"/>
      <c r="K7">
        <v>6</v>
      </c>
    </row>
    <row r="8" spans="1:11">
      <c r="A8" s="29" t="s">
        <v>96</v>
      </c>
      <c r="B8" s="29"/>
      <c r="C8" s="29" t="s">
        <v>103</v>
      </c>
      <c r="D8" s="32" t="s">
        <v>103</v>
      </c>
      <c r="E8" s="32" t="s">
        <v>103</v>
      </c>
      <c r="F8" s="33">
        <v>42700</v>
      </c>
      <c r="G8" s="33">
        <v>61000</v>
      </c>
      <c r="H8" s="33">
        <v>79300</v>
      </c>
      <c r="I8" s="29" t="s">
        <v>6</v>
      </c>
      <c r="J8" s="29"/>
      <c r="K8">
        <v>7</v>
      </c>
    </row>
    <row r="9" spans="1:11">
      <c r="A9" s="29" t="s">
        <v>96</v>
      </c>
      <c r="B9" s="29"/>
      <c r="C9" s="29" t="s">
        <v>104</v>
      </c>
      <c r="D9" s="32" t="s">
        <v>104</v>
      </c>
      <c r="E9" s="32" t="s">
        <v>104</v>
      </c>
      <c r="F9" s="33">
        <v>48100</v>
      </c>
      <c r="G9" s="33">
        <v>74000</v>
      </c>
      <c r="H9" s="33">
        <v>99900</v>
      </c>
      <c r="I9" s="29" t="s">
        <v>6</v>
      </c>
      <c r="J9" s="29"/>
      <c r="K9">
        <v>8</v>
      </c>
    </row>
    <row r="10" spans="1:11">
      <c r="A10" s="29" t="s">
        <v>96</v>
      </c>
      <c r="B10" s="29"/>
      <c r="C10" s="29" t="s">
        <v>105</v>
      </c>
      <c r="D10" s="32" t="s">
        <v>105</v>
      </c>
      <c r="E10" s="32" t="s">
        <v>105</v>
      </c>
      <c r="F10" s="33">
        <v>53300</v>
      </c>
      <c r="G10" s="33">
        <v>82000</v>
      </c>
      <c r="H10" s="33">
        <v>110700</v>
      </c>
      <c r="I10" s="29" t="s">
        <v>6</v>
      </c>
      <c r="J10" s="29"/>
      <c r="K10">
        <v>9</v>
      </c>
    </row>
    <row r="11" spans="1:11">
      <c r="A11" s="29" t="s">
        <v>96</v>
      </c>
      <c r="B11" s="29"/>
      <c r="C11" s="29" t="s">
        <v>106</v>
      </c>
      <c r="D11" s="32" t="s">
        <v>106</v>
      </c>
      <c r="E11" s="32" t="s">
        <v>106</v>
      </c>
      <c r="F11" s="33">
        <v>57000</v>
      </c>
      <c r="G11" s="33">
        <v>95000</v>
      </c>
      <c r="H11" s="33">
        <v>133000</v>
      </c>
      <c r="I11" s="29" t="s">
        <v>6</v>
      </c>
      <c r="J11" s="29"/>
      <c r="K11">
        <v>10</v>
      </c>
    </row>
    <row r="12" spans="1:11">
      <c r="A12" s="29" t="s">
        <v>96</v>
      </c>
      <c r="B12" s="29"/>
      <c r="C12" s="29" t="s">
        <v>107</v>
      </c>
      <c r="D12" s="32" t="s">
        <v>107</v>
      </c>
      <c r="E12" s="32" t="s">
        <v>107</v>
      </c>
      <c r="F12" s="33">
        <v>63000</v>
      </c>
      <c r="G12" s="33">
        <v>105000</v>
      </c>
      <c r="H12" s="33">
        <v>147000</v>
      </c>
      <c r="I12" s="29" t="s">
        <v>6</v>
      </c>
      <c r="J12" s="29"/>
      <c r="K12">
        <v>11</v>
      </c>
    </row>
    <row r="13" spans="1:11">
      <c r="A13" s="29" t="s">
        <v>96</v>
      </c>
      <c r="B13" s="29"/>
      <c r="C13" s="29" t="s">
        <v>108</v>
      </c>
      <c r="D13" s="32" t="s">
        <v>108</v>
      </c>
      <c r="E13" s="32" t="s">
        <v>108</v>
      </c>
      <c r="F13" s="33">
        <v>74400</v>
      </c>
      <c r="G13" s="33">
        <v>124000</v>
      </c>
      <c r="H13" s="33">
        <v>173600</v>
      </c>
      <c r="I13" s="29" t="s">
        <v>6</v>
      </c>
      <c r="J13" s="29"/>
      <c r="K13">
        <v>12</v>
      </c>
    </row>
    <row r="14" spans="1:11">
      <c r="A14" s="29" t="s">
        <v>96</v>
      </c>
      <c r="B14" s="29"/>
      <c r="C14" s="29" t="s">
        <v>109</v>
      </c>
      <c r="D14" s="32" t="s">
        <v>109</v>
      </c>
      <c r="E14" s="32" t="s">
        <v>109</v>
      </c>
      <c r="F14" s="33">
        <v>81000</v>
      </c>
      <c r="G14" s="33">
        <v>135000</v>
      </c>
      <c r="H14" s="33">
        <v>189000</v>
      </c>
      <c r="I14" s="29" t="s">
        <v>6</v>
      </c>
      <c r="J14" s="29"/>
      <c r="K14">
        <v>13</v>
      </c>
    </row>
    <row r="15" spans="1:11">
      <c r="A15" s="29" t="s">
        <v>96</v>
      </c>
      <c r="B15" s="29"/>
      <c r="C15" s="29" t="s">
        <v>110</v>
      </c>
      <c r="D15" s="32" t="s">
        <v>110</v>
      </c>
      <c r="E15" s="32" t="s">
        <v>110</v>
      </c>
      <c r="F15" s="33">
        <v>94200</v>
      </c>
      <c r="G15" s="33">
        <v>157000</v>
      </c>
      <c r="H15" s="33">
        <v>219800</v>
      </c>
      <c r="I15" s="29" t="s">
        <v>6</v>
      </c>
      <c r="J15" s="29"/>
      <c r="K15">
        <v>14</v>
      </c>
    </row>
    <row r="16" spans="1:11">
      <c r="A16" s="29" t="s">
        <v>96</v>
      </c>
      <c r="B16" s="29"/>
      <c r="C16" s="29" t="s">
        <v>111</v>
      </c>
      <c r="D16" s="32" t="s">
        <v>111</v>
      </c>
      <c r="E16" s="32" t="s">
        <v>111</v>
      </c>
      <c r="F16" s="33">
        <v>112800</v>
      </c>
      <c r="G16" s="33">
        <v>188000</v>
      </c>
      <c r="H16" s="33">
        <v>263200</v>
      </c>
      <c r="I16" s="29" t="s">
        <v>6</v>
      </c>
      <c r="J16" s="29"/>
      <c r="K16">
        <v>15</v>
      </c>
    </row>
    <row r="17" spans="1:11">
      <c r="A17" s="29" t="s">
        <v>96</v>
      </c>
      <c r="B17" s="29"/>
      <c r="C17" s="29" t="s">
        <v>112</v>
      </c>
      <c r="D17" s="32" t="s">
        <v>112</v>
      </c>
      <c r="E17" s="32" t="s">
        <v>112</v>
      </c>
      <c r="F17" s="33">
        <v>133200</v>
      </c>
      <c r="G17" s="33">
        <v>222000</v>
      </c>
      <c r="H17" s="33">
        <v>310800</v>
      </c>
      <c r="I17" s="29" t="s">
        <v>6</v>
      </c>
      <c r="J17" s="29"/>
      <c r="K17">
        <v>16</v>
      </c>
    </row>
    <row r="18" spans="1:11">
      <c r="A18" s="29" t="s">
        <v>96</v>
      </c>
      <c r="B18" s="29"/>
      <c r="C18" s="29" t="s">
        <v>113</v>
      </c>
      <c r="D18" s="32" t="s">
        <v>113</v>
      </c>
      <c r="E18" s="32" t="s">
        <v>113</v>
      </c>
      <c r="F18" s="33">
        <v>177000</v>
      </c>
      <c r="G18" s="33">
        <v>288000</v>
      </c>
      <c r="H18" s="33">
        <v>391000</v>
      </c>
      <c r="I18" s="29" t="s">
        <v>6</v>
      </c>
      <c r="J18" s="29"/>
      <c r="K18">
        <v>17</v>
      </c>
    </row>
    <row r="19" spans="1:11">
      <c r="A19" s="29" t="s">
        <v>96</v>
      </c>
      <c r="B19" s="29"/>
      <c r="C19" s="29" t="s">
        <v>114</v>
      </c>
      <c r="D19" s="32" t="s">
        <v>114</v>
      </c>
      <c r="E19" s="32" t="s">
        <v>114</v>
      </c>
      <c r="F19" s="33">
        <v>192000</v>
      </c>
      <c r="G19" s="33">
        <v>320000</v>
      </c>
      <c r="H19" s="33">
        <v>448000</v>
      </c>
      <c r="I19" s="29" t="s">
        <v>6</v>
      </c>
      <c r="J19" s="29"/>
      <c r="K19">
        <v>18</v>
      </c>
    </row>
    <row r="20" spans="1:11">
      <c r="A20" s="29" t="s">
        <v>115</v>
      </c>
      <c r="B20" s="29"/>
      <c r="C20" s="29" t="s">
        <v>97</v>
      </c>
      <c r="D20" s="32" t="s">
        <v>97</v>
      </c>
      <c r="E20" s="32" t="s">
        <v>97</v>
      </c>
      <c r="F20" s="34">
        <v>18000</v>
      </c>
      <c r="G20" s="34">
        <v>22500</v>
      </c>
      <c r="H20" s="34">
        <v>27000</v>
      </c>
      <c r="I20" s="35" t="s">
        <v>9</v>
      </c>
      <c r="J20" s="29"/>
      <c r="K20">
        <v>19</v>
      </c>
    </row>
    <row r="21" spans="1:11">
      <c r="A21" s="29" t="s">
        <v>115</v>
      </c>
      <c r="B21" s="29"/>
      <c r="C21" s="29" t="s">
        <v>98</v>
      </c>
      <c r="D21" s="32" t="s">
        <v>98</v>
      </c>
      <c r="E21" s="32" t="s">
        <v>98</v>
      </c>
      <c r="F21" s="34">
        <v>23100</v>
      </c>
      <c r="G21" s="34">
        <v>28800</v>
      </c>
      <c r="H21" s="34">
        <v>34650</v>
      </c>
      <c r="I21" s="35" t="s">
        <v>9</v>
      </c>
      <c r="J21" s="29"/>
      <c r="K21">
        <v>20</v>
      </c>
    </row>
    <row r="22" spans="1:11">
      <c r="A22" s="29" t="s">
        <v>115</v>
      </c>
      <c r="B22" s="29"/>
      <c r="C22" s="29" t="s">
        <v>99</v>
      </c>
      <c r="D22" s="32" t="s">
        <v>99</v>
      </c>
      <c r="E22" s="32" t="s">
        <v>99</v>
      </c>
      <c r="F22" s="34">
        <v>27750</v>
      </c>
      <c r="G22" s="34">
        <v>36900</v>
      </c>
      <c r="H22" s="34">
        <v>46200</v>
      </c>
      <c r="I22" s="35" t="s">
        <v>9</v>
      </c>
      <c r="J22" s="29"/>
      <c r="K22">
        <v>21</v>
      </c>
    </row>
    <row r="23" spans="1:11">
      <c r="A23" s="29" t="s">
        <v>115</v>
      </c>
      <c r="B23" s="29"/>
      <c r="C23" s="29" t="s">
        <v>100</v>
      </c>
      <c r="D23" s="32" t="s">
        <v>100</v>
      </c>
      <c r="E23" s="32" t="s">
        <v>100</v>
      </c>
      <c r="F23" s="34">
        <v>35550</v>
      </c>
      <c r="G23" s="34">
        <v>47250</v>
      </c>
      <c r="H23" s="34">
        <v>59100</v>
      </c>
      <c r="I23" s="35" t="s">
        <v>9</v>
      </c>
      <c r="J23" s="29"/>
      <c r="K23">
        <v>22</v>
      </c>
    </row>
    <row r="24" spans="1:11">
      <c r="A24" s="29" t="s">
        <v>115</v>
      </c>
      <c r="B24" s="29"/>
      <c r="C24" s="29" t="s">
        <v>101</v>
      </c>
      <c r="D24" s="32" t="s">
        <v>101</v>
      </c>
      <c r="E24" s="32" t="s">
        <v>101</v>
      </c>
      <c r="F24" s="34">
        <v>44100</v>
      </c>
      <c r="G24" s="34">
        <v>63000</v>
      </c>
      <c r="H24" s="34">
        <v>81900</v>
      </c>
      <c r="I24" s="35" t="s">
        <v>9</v>
      </c>
      <c r="J24" s="29"/>
      <c r="K24">
        <v>23</v>
      </c>
    </row>
    <row r="25" spans="1:11">
      <c r="A25" s="29" t="s">
        <v>115</v>
      </c>
      <c r="B25" s="29"/>
      <c r="C25" s="29" t="s">
        <v>102</v>
      </c>
      <c r="D25" s="32" t="s">
        <v>102</v>
      </c>
      <c r="E25" s="32" t="s">
        <v>102</v>
      </c>
      <c r="F25" s="34">
        <v>54300</v>
      </c>
      <c r="G25" s="34">
        <v>77400</v>
      </c>
      <c r="H25" s="34">
        <v>100650</v>
      </c>
      <c r="I25" s="35" t="s">
        <v>9</v>
      </c>
      <c r="J25" s="29"/>
      <c r="K25">
        <v>24</v>
      </c>
    </row>
    <row r="26" spans="1:11">
      <c r="A26" s="29" t="s">
        <v>115</v>
      </c>
      <c r="B26" s="29"/>
      <c r="C26" s="29" t="s">
        <v>103</v>
      </c>
      <c r="D26" s="32" t="s">
        <v>103</v>
      </c>
      <c r="E26" s="32" t="s">
        <v>103</v>
      </c>
      <c r="F26" s="34">
        <v>64050</v>
      </c>
      <c r="G26" s="34">
        <v>91500</v>
      </c>
      <c r="H26" s="34">
        <v>118950</v>
      </c>
      <c r="I26" s="35" t="s">
        <v>9</v>
      </c>
      <c r="J26" s="29"/>
      <c r="K26">
        <v>25</v>
      </c>
    </row>
    <row r="27" spans="1:11">
      <c r="A27" s="29" t="s">
        <v>115</v>
      </c>
      <c r="B27" s="29"/>
      <c r="C27" s="29" t="s">
        <v>104</v>
      </c>
      <c r="D27" s="32" t="s">
        <v>104</v>
      </c>
      <c r="E27" s="32" t="s">
        <v>104</v>
      </c>
      <c r="F27" s="34">
        <v>72150</v>
      </c>
      <c r="G27" s="34">
        <v>111000</v>
      </c>
      <c r="H27" s="34">
        <v>149850</v>
      </c>
      <c r="I27" s="35" t="s">
        <v>9</v>
      </c>
      <c r="J27" s="29"/>
      <c r="K27">
        <v>26</v>
      </c>
    </row>
    <row r="28" spans="1:11">
      <c r="A28" s="29" t="s">
        <v>115</v>
      </c>
      <c r="B28" s="29"/>
      <c r="C28" s="29" t="s">
        <v>105</v>
      </c>
      <c r="D28" s="32" t="s">
        <v>105</v>
      </c>
      <c r="E28" s="32" t="s">
        <v>105</v>
      </c>
      <c r="F28" s="34">
        <v>79950</v>
      </c>
      <c r="G28" s="34">
        <v>123000</v>
      </c>
      <c r="H28" s="34">
        <v>166050</v>
      </c>
      <c r="I28" s="35" t="s">
        <v>9</v>
      </c>
      <c r="J28" s="29"/>
      <c r="K28">
        <v>27</v>
      </c>
    </row>
    <row r="29" spans="1:11">
      <c r="A29" s="29" t="s">
        <v>115</v>
      </c>
      <c r="B29" s="29"/>
      <c r="C29" s="29" t="s">
        <v>106</v>
      </c>
      <c r="D29" s="32" t="s">
        <v>106</v>
      </c>
      <c r="E29" s="32" t="s">
        <v>106</v>
      </c>
      <c r="F29" s="34">
        <v>85500</v>
      </c>
      <c r="G29" s="34">
        <v>142500</v>
      </c>
      <c r="H29" s="34">
        <v>199500</v>
      </c>
      <c r="I29" s="35" t="s">
        <v>9</v>
      </c>
      <c r="J29" s="29"/>
      <c r="K29">
        <v>28</v>
      </c>
    </row>
    <row r="30" spans="1:11">
      <c r="A30" s="29" t="s">
        <v>115</v>
      </c>
      <c r="B30" s="29"/>
      <c r="C30" s="29" t="s">
        <v>107</v>
      </c>
      <c r="D30" s="32" t="s">
        <v>107</v>
      </c>
      <c r="E30" s="32" t="s">
        <v>107</v>
      </c>
      <c r="F30" s="34">
        <v>94500</v>
      </c>
      <c r="G30" s="34">
        <v>157500</v>
      </c>
      <c r="H30" s="34">
        <v>220500</v>
      </c>
      <c r="I30" s="35" t="s">
        <v>9</v>
      </c>
      <c r="J30" s="29"/>
      <c r="K30">
        <v>29</v>
      </c>
    </row>
    <row r="31" spans="1:11">
      <c r="A31" s="29" t="s">
        <v>115</v>
      </c>
      <c r="B31" s="29"/>
      <c r="C31" s="29" t="s">
        <v>108</v>
      </c>
      <c r="D31" s="32" t="s">
        <v>108</v>
      </c>
      <c r="E31" s="32" t="s">
        <v>108</v>
      </c>
      <c r="F31" s="34">
        <v>111600</v>
      </c>
      <c r="G31" s="34">
        <v>186000</v>
      </c>
      <c r="H31" s="34">
        <v>260400</v>
      </c>
      <c r="I31" s="35" t="s">
        <v>9</v>
      </c>
      <c r="J31" s="29"/>
      <c r="K31">
        <v>30</v>
      </c>
    </row>
    <row r="32" spans="1:11">
      <c r="A32" s="29" t="s">
        <v>115</v>
      </c>
      <c r="B32" s="29"/>
      <c r="C32" t="s">
        <v>116</v>
      </c>
      <c r="D32" s="32" t="s">
        <v>116</v>
      </c>
      <c r="E32" s="32" t="s">
        <v>116</v>
      </c>
      <c r="F32" s="34">
        <v>115600</v>
      </c>
      <c r="G32" s="34">
        <v>196000</v>
      </c>
      <c r="H32" s="34">
        <v>270400</v>
      </c>
      <c r="I32" s="35" t="s">
        <v>9</v>
      </c>
      <c r="J32" s="29"/>
      <c r="K32">
        <v>31</v>
      </c>
    </row>
    <row r="33" spans="1:15">
      <c r="A33" s="29" t="s">
        <v>115</v>
      </c>
      <c r="B33" s="29"/>
      <c r="C33" s="29" t="s">
        <v>109</v>
      </c>
      <c r="D33" s="32" t="s">
        <v>109</v>
      </c>
      <c r="E33" s="32" t="s">
        <v>109</v>
      </c>
      <c r="F33" s="34">
        <v>121500</v>
      </c>
      <c r="G33" s="34">
        <v>202500</v>
      </c>
      <c r="H33" s="34">
        <v>283500</v>
      </c>
      <c r="I33" s="35"/>
      <c r="J33" s="29"/>
      <c r="K33">
        <v>32</v>
      </c>
    </row>
    <row r="34" spans="1:15">
      <c r="A34" s="29" t="s">
        <v>115</v>
      </c>
      <c r="B34" s="29"/>
      <c r="C34" s="29" t="s">
        <v>110</v>
      </c>
      <c r="D34" s="32" t="s">
        <v>110</v>
      </c>
      <c r="E34" s="32" t="s">
        <v>110</v>
      </c>
      <c r="F34" s="34">
        <v>141300</v>
      </c>
      <c r="G34" s="34">
        <v>235500</v>
      </c>
      <c r="H34" s="34">
        <v>329700</v>
      </c>
      <c r="I34" s="35" t="s">
        <v>9</v>
      </c>
      <c r="J34" s="29"/>
      <c r="K34">
        <v>33</v>
      </c>
    </row>
    <row r="35" spans="1:15">
      <c r="A35" s="29" t="s">
        <v>115</v>
      </c>
      <c r="B35" s="29"/>
      <c r="C35" s="29" t="s">
        <v>111</v>
      </c>
      <c r="D35" s="32" t="s">
        <v>111</v>
      </c>
      <c r="E35" s="32" t="s">
        <v>111</v>
      </c>
      <c r="F35" s="34">
        <v>169200</v>
      </c>
      <c r="G35" s="34">
        <v>282000</v>
      </c>
      <c r="H35" s="34">
        <v>394800</v>
      </c>
      <c r="I35" s="35" t="s">
        <v>9</v>
      </c>
      <c r="J35" s="29"/>
      <c r="K35">
        <v>34</v>
      </c>
    </row>
    <row r="36" spans="1:15">
      <c r="A36" s="29" t="s">
        <v>115</v>
      </c>
      <c r="B36" s="29"/>
      <c r="C36" s="29" t="s">
        <v>112</v>
      </c>
      <c r="D36" s="32" t="s">
        <v>112</v>
      </c>
      <c r="E36" s="32" t="s">
        <v>112</v>
      </c>
      <c r="F36" s="34">
        <v>199800</v>
      </c>
      <c r="G36" s="34">
        <v>333000</v>
      </c>
      <c r="H36" s="34">
        <v>466200</v>
      </c>
      <c r="I36" s="35" t="s">
        <v>9</v>
      </c>
      <c r="J36" s="29"/>
      <c r="K36">
        <v>35</v>
      </c>
    </row>
    <row r="37" spans="1:15">
      <c r="A37" s="29" t="s">
        <v>115</v>
      </c>
      <c r="B37" s="29"/>
      <c r="C37" s="29" t="s">
        <v>113</v>
      </c>
      <c r="D37" s="32" t="s">
        <v>113</v>
      </c>
      <c r="E37" s="32" t="s">
        <v>113</v>
      </c>
      <c r="F37" s="34">
        <v>239400</v>
      </c>
      <c r="G37" s="34">
        <v>399000</v>
      </c>
      <c r="H37" s="34">
        <v>558600</v>
      </c>
      <c r="I37" s="35" t="s">
        <v>9</v>
      </c>
      <c r="J37" s="29"/>
      <c r="K37">
        <v>36</v>
      </c>
    </row>
    <row r="38" spans="1:15">
      <c r="A38" s="29" t="s">
        <v>115</v>
      </c>
      <c r="B38" s="29"/>
      <c r="C38" s="29" t="s">
        <v>114</v>
      </c>
      <c r="D38" s="32" t="s">
        <v>114</v>
      </c>
      <c r="E38" s="32" t="s">
        <v>114</v>
      </c>
      <c r="F38" s="34">
        <v>288000</v>
      </c>
      <c r="G38" s="34">
        <v>480000</v>
      </c>
      <c r="H38" s="34">
        <v>672000</v>
      </c>
      <c r="I38" s="35" t="s">
        <v>9</v>
      </c>
      <c r="J38" s="29"/>
      <c r="K38">
        <v>37</v>
      </c>
    </row>
    <row r="39" spans="1:15">
      <c r="B39" t="s">
        <v>117</v>
      </c>
      <c r="C39" t="s">
        <v>104</v>
      </c>
      <c r="D39" t="s">
        <v>104</v>
      </c>
      <c r="E39" t="s">
        <v>104</v>
      </c>
      <c r="F39">
        <v>56000</v>
      </c>
      <c r="G39">
        <v>66000</v>
      </c>
      <c r="H39">
        <v>76000</v>
      </c>
      <c r="I39" t="s">
        <v>13</v>
      </c>
      <c r="K39">
        <v>38</v>
      </c>
      <c r="O39" t="s">
        <v>118</v>
      </c>
    </row>
    <row r="40" spans="1:15">
      <c r="B40" t="s">
        <v>119</v>
      </c>
      <c r="C40" t="s">
        <v>104</v>
      </c>
      <c r="D40" t="s">
        <v>104</v>
      </c>
      <c r="E40" t="s">
        <v>104</v>
      </c>
      <c r="F40">
        <v>57000</v>
      </c>
      <c r="G40">
        <v>67000</v>
      </c>
      <c r="H40">
        <v>77000</v>
      </c>
      <c r="I40" t="s">
        <v>11</v>
      </c>
      <c r="K40">
        <v>39</v>
      </c>
      <c r="O40" t="s">
        <v>120</v>
      </c>
    </row>
    <row r="41" spans="1:15">
      <c r="B41" t="s">
        <v>121</v>
      </c>
      <c r="C41" t="s">
        <v>104</v>
      </c>
      <c r="D41" t="s">
        <v>104</v>
      </c>
      <c r="E41" t="s">
        <v>104</v>
      </c>
      <c r="F41">
        <v>58000</v>
      </c>
      <c r="G41">
        <v>68000</v>
      </c>
      <c r="H41">
        <v>78000</v>
      </c>
      <c r="I41" t="s">
        <v>16</v>
      </c>
      <c r="K41">
        <v>40</v>
      </c>
      <c r="O41" t="s">
        <v>122</v>
      </c>
    </row>
    <row r="42" spans="1:15">
      <c r="B42" t="s">
        <v>123</v>
      </c>
      <c r="C42" t="s">
        <v>104</v>
      </c>
      <c r="D42" t="s">
        <v>104</v>
      </c>
      <c r="E42" t="s">
        <v>104</v>
      </c>
      <c r="F42">
        <v>59000</v>
      </c>
      <c r="G42">
        <v>69000</v>
      </c>
      <c r="H42">
        <v>79000</v>
      </c>
      <c r="I42" t="s">
        <v>19</v>
      </c>
      <c r="K42">
        <v>41</v>
      </c>
      <c r="O42" t="s">
        <v>124</v>
      </c>
    </row>
    <row r="43" spans="1:15">
      <c r="B43" t="s">
        <v>125</v>
      </c>
      <c r="C43" t="s">
        <v>104</v>
      </c>
      <c r="D43" t="s">
        <v>104</v>
      </c>
      <c r="E43" t="s">
        <v>104</v>
      </c>
      <c r="F43">
        <v>60000</v>
      </c>
      <c r="G43">
        <v>70000</v>
      </c>
      <c r="H43">
        <v>80000</v>
      </c>
      <c r="I43" t="s">
        <v>22</v>
      </c>
      <c r="K43">
        <v>42</v>
      </c>
      <c r="O43" t="s">
        <v>126</v>
      </c>
    </row>
    <row r="44" spans="1:15">
      <c r="B44" t="s">
        <v>119</v>
      </c>
      <c r="C44" t="s">
        <v>127</v>
      </c>
      <c r="D44" t="s">
        <v>127</v>
      </c>
      <c r="E44" t="s">
        <v>127</v>
      </c>
      <c r="F44">
        <v>61000</v>
      </c>
      <c r="G44">
        <v>71000</v>
      </c>
      <c r="H44">
        <v>81000</v>
      </c>
      <c r="I44" t="s">
        <v>22</v>
      </c>
      <c r="K44">
        <v>43</v>
      </c>
    </row>
    <row r="45" spans="1:15">
      <c r="B45" t="s">
        <v>121</v>
      </c>
      <c r="C45" t="s">
        <v>127</v>
      </c>
      <c r="D45" t="s">
        <v>127</v>
      </c>
      <c r="E45" t="s">
        <v>127</v>
      </c>
      <c r="F45">
        <v>63000</v>
      </c>
      <c r="G45">
        <v>72000</v>
      </c>
      <c r="H45">
        <v>82000</v>
      </c>
      <c r="I45" t="s">
        <v>16</v>
      </c>
      <c r="K45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85"/>
  <sheetViews>
    <sheetView workbookViewId="0">
      <pane ySplit="1" topLeftCell="U10" activePane="bottomLeft" state="frozen"/>
      <selection pane="bottomLeft" activeCell="AD34" sqref="AD34"/>
    </sheetView>
  </sheetViews>
  <sheetFormatPr defaultRowHeight="15"/>
  <cols>
    <col min="1" max="1" width="14.28515625" customWidth="1"/>
    <col min="2" max="2" width="18" customWidth="1"/>
    <col min="3" max="4" width="33.85546875" customWidth="1"/>
    <col min="5" max="6" width="29.140625" customWidth="1"/>
    <col min="7" max="7" width="10" customWidth="1"/>
    <col min="8" max="8" width="14.28515625" bestFit="1" customWidth="1"/>
    <col min="9" max="11" width="18.5703125" customWidth="1"/>
    <col min="12" max="12" width="10" customWidth="1"/>
    <col min="13" max="14" width="15.85546875" customWidth="1"/>
    <col min="15" max="16" width="13.7109375" customWidth="1"/>
    <col min="17" max="18" width="17.42578125" customWidth="1"/>
    <col min="19" max="19" width="12.42578125" customWidth="1"/>
    <col min="20" max="20" width="17.42578125" customWidth="1"/>
    <col min="21" max="21" width="17.7109375" customWidth="1"/>
    <col min="22" max="22" width="36.28515625" customWidth="1"/>
    <col min="23" max="23" width="19.7109375" bestFit="1" customWidth="1"/>
    <col min="24" max="24" width="10.5703125" customWidth="1"/>
    <col min="25" max="25" width="35" bestFit="1" customWidth="1"/>
    <col min="26" max="26" width="17" bestFit="1" customWidth="1"/>
    <col min="27" max="28" width="20.85546875" customWidth="1"/>
    <col min="29" max="29" width="24.28515625" customWidth="1"/>
    <col min="30" max="30" width="18.140625" bestFit="1" customWidth="1"/>
    <col min="31" max="31" width="19.85546875" bestFit="1" customWidth="1"/>
    <col min="32" max="32" width="19.85546875" customWidth="1"/>
    <col min="33" max="33" width="14.140625" bestFit="1" customWidth="1"/>
    <col min="34" max="34" width="18.85546875" bestFit="1" customWidth="1"/>
    <col min="35" max="35" width="33.42578125" customWidth="1"/>
    <col min="36" max="36" width="13.7109375" bestFit="1" customWidth="1"/>
    <col min="37" max="37" width="19.5703125" bestFit="1" customWidth="1"/>
    <col min="38" max="38" width="19.5703125" customWidth="1"/>
    <col min="39" max="39" width="24.42578125" style="1" bestFit="1" customWidth="1"/>
    <col min="40" max="40" width="18.5703125" bestFit="1" customWidth="1"/>
    <col min="41" max="41" width="22" customWidth="1"/>
    <col min="42" max="42" width="27" customWidth="1"/>
    <col min="43" max="43" width="23.85546875" customWidth="1"/>
    <col min="44" max="44" width="13.85546875" bestFit="1" customWidth="1"/>
    <col min="45" max="45" width="13.42578125" bestFit="1" customWidth="1"/>
    <col min="46" max="46" width="21.5703125" bestFit="1" customWidth="1"/>
  </cols>
  <sheetData>
    <row r="1" spans="1:46" ht="19.5" customHeight="1">
      <c r="A1" s="29" t="s">
        <v>128</v>
      </c>
      <c r="B1" s="29" t="s">
        <v>129</v>
      </c>
      <c r="C1" s="29" t="s">
        <v>130</v>
      </c>
      <c r="D1" s="29" t="s">
        <v>131</v>
      </c>
      <c r="E1" s="44" t="s">
        <v>132</v>
      </c>
      <c r="F1" s="44" t="s">
        <v>133</v>
      </c>
      <c r="G1" s="29" t="s">
        <v>134</v>
      </c>
      <c r="H1" s="29" t="s">
        <v>32</v>
      </c>
      <c r="I1" s="44" t="s">
        <v>135</v>
      </c>
      <c r="J1" s="44" t="s">
        <v>136</v>
      </c>
      <c r="K1" s="44" t="s">
        <v>137</v>
      </c>
      <c r="L1" s="44" t="s">
        <v>138</v>
      </c>
      <c r="M1" s="29" t="s">
        <v>139</v>
      </c>
      <c r="N1" s="29" t="s">
        <v>140</v>
      </c>
      <c r="O1" s="29" t="s">
        <v>141</v>
      </c>
      <c r="P1" s="29" t="s">
        <v>142</v>
      </c>
      <c r="Q1" s="29" t="s">
        <v>143</v>
      </c>
      <c r="R1" s="44" t="s">
        <v>144</v>
      </c>
      <c r="S1" s="44" t="s">
        <v>145</v>
      </c>
      <c r="T1" s="29" t="s">
        <v>146</v>
      </c>
      <c r="U1" s="29" t="s">
        <v>147</v>
      </c>
      <c r="V1" s="29" t="s">
        <v>148</v>
      </c>
      <c r="W1" s="29" t="s">
        <v>149</v>
      </c>
      <c r="X1" s="44" t="s">
        <v>150</v>
      </c>
      <c r="Y1" s="29" t="s">
        <v>151</v>
      </c>
      <c r="Z1" s="29" t="s">
        <v>87</v>
      </c>
      <c r="AA1" s="29" t="s">
        <v>88</v>
      </c>
      <c r="AB1" s="29" t="s">
        <v>89</v>
      </c>
      <c r="AC1" s="29" t="s">
        <v>91</v>
      </c>
      <c r="AD1" s="29" t="s">
        <v>0</v>
      </c>
      <c r="AE1" s="29" t="s">
        <v>152</v>
      </c>
      <c r="AF1" s="44" t="s">
        <v>153</v>
      </c>
      <c r="AG1" s="29" t="s">
        <v>28</v>
      </c>
      <c r="AH1" s="29" t="s">
        <v>154</v>
      </c>
      <c r="AI1" s="29" t="s">
        <v>155</v>
      </c>
      <c r="AJ1" s="29" t="s">
        <v>156</v>
      </c>
      <c r="AK1" s="29" t="s">
        <v>157</v>
      </c>
      <c r="AL1" s="54" t="s">
        <v>158</v>
      </c>
      <c r="AM1" s="54" t="s">
        <v>159</v>
      </c>
      <c r="AN1" s="38" t="s">
        <v>160</v>
      </c>
      <c r="AO1" s="38" t="s">
        <v>161</v>
      </c>
      <c r="AP1" s="38" t="s">
        <v>162</v>
      </c>
      <c r="AQ1" s="38" t="s">
        <v>163</v>
      </c>
      <c r="AR1" s="38" t="s">
        <v>164</v>
      </c>
      <c r="AS1" s="38" t="s">
        <v>165</v>
      </c>
      <c r="AT1" s="38" t="s">
        <v>166</v>
      </c>
    </row>
    <row r="2" spans="1:46" ht="16.5">
      <c r="A2" s="29">
        <v>2009</v>
      </c>
      <c r="B2" s="29">
        <v>2009</v>
      </c>
      <c r="C2" s="29" t="s">
        <v>167</v>
      </c>
      <c r="D2" s="29" t="s">
        <v>167</v>
      </c>
      <c r="E2" s="44" t="s">
        <v>168</v>
      </c>
      <c r="F2" s="29" t="s">
        <v>169</v>
      </c>
      <c r="G2" s="29" t="b">
        <v>1</v>
      </c>
      <c r="H2" s="29"/>
      <c r="I2" s="44"/>
      <c r="J2" s="44" t="s">
        <v>170</v>
      </c>
      <c r="K2" s="44"/>
      <c r="L2" s="44" t="s">
        <v>171</v>
      </c>
      <c r="M2" s="39">
        <v>45767</v>
      </c>
      <c r="N2" s="39">
        <v>45767</v>
      </c>
      <c r="O2" s="29">
        <v>2001</v>
      </c>
      <c r="P2" s="29">
        <v>2001</v>
      </c>
      <c r="Q2" s="29" t="s">
        <v>172</v>
      </c>
      <c r="R2" s="44" t="s">
        <v>173</v>
      </c>
      <c r="S2" s="44" t="s">
        <v>173</v>
      </c>
      <c r="T2" s="29">
        <v>80</v>
      </c>
      <c r="U2" s="29" t="s">
        <v>174</v>
      </c>
      <c r="V2" s="29">
        <v>80</v>
      </c>
      <c r="W2" s="29" t="s">
        <v>174</v>
      </c>
      <c r="X2" s="29" t="s">
        <v>175</v>
      </c>
      <c r="Y2" s="29" t="s">
        <v>176</v>
      </c>
      <c r="Z2" s="29" t="s">
        <v>115</v>
      </c>
      <c r="AA2" s="29"/>
      <c r="AB2" s="29" t="s">
        <v>103</v>
      </c>
      <c r="AC2" s="29" t="s">
        <v>103</v>
      </c>
      <c r="AD2" s="29" t="s">
        <v>11</v>
      </c>
      <c r="AE2" s="40">
        <v>100000</v>
      </c>
      <c r="AF2" s="40">
        <v>100000</v>
      </c>
      <c r="AG2" s="29">
        <v>1</v>
      </c>
      <c r="AH2" s="29" t="s">
        <v>177</v>
      </c>
      <c r="AI2" s="29">
        <v>42700</v>
      </c>
      <c r="AJ2" s="29">
        <v>61000</v>
      </c>
      <c r="AK2" s="29">
        <v>79300</v>
      </c>
      <c r="AL2" s="30" t="s">
        <v>37</v>
      </c>
      <c r="AM2" s="30" t="s">
        <v>37</v>
      </c>
      <c r="AN2" s="29"/>
      <c r="AO2" s="42">
        <v>5000</v>
      </c>
      <c r="AP2" s="29"/>
      <c r="AQ2" s="42">
        <v>30</v>
      </c>
      <c r="AR2" s="29">
        <v>40</v>
      </c>
      <c r="AS2" s="29">
        <v>40</v>
      </c>
      <c r="AT2" s="29" t="s">
        <v>178</v>
      </c>
    </row>
    <row r="3" spans="1:46" ht="16.5">
      <c r="A3" s="38">
        <v>2004</v>
      </c>
      <c r="B3" s="38">
        <v>2004</v>
      </c>
      <c r="C3" s="38" t="s">
        <v>179</v>
      </c>
      <c r="D3" s="38" t="s">
        <v>179</v>
      </c>
      <c r="E3" s="44" t="s">
        <v>180</v>
      </c>
      <c r="F3" s="29" t="s">
        <v>181</v>
      </c>
      <c r="G3" s="29" t="b">
        <v>1</v>
      </c>
      <c r="H3" s="29"/>
      <c r="I3" s="44"/>
      <c r="J3" s="44" t="s">
        <v>182</v>
      </c>
      <c r="K3" s="44"/>
      <c r="L3" s="44" t="s">
        <v>171</v>
      </c>
      <c r="M3" s="39">
        <v>45767</v>
      </c>
      <c r="N3" s="39">
        <v>45767</v>
      </c>
      <c r="O3" s="29">
        <v>2001</v>
      </c>
      <c r="P3" s="29">
        <v>2001</v>
      </c>
      <c r="Q3" s="29" t="s">
        <v>183</v>
      </c>
      <c r="R3" s="44" t="s">
        <v>173</v>
      </c>
      <c r="S3" s="44" t="s">
        <v>173</v>
      </c>
      <c r="T3" s="29">
        <v>80</v>
      </c>
      <c r="U3" s="29" t="s">
        <v>174</v>
      </c>
      <c r="V3" s="29">
        <v>80</v>
      </c>
      <c r="W3" s="29" t="s">
        <v>174</v>
      </c>
      <c r="X3" s="29" t="s">
        <v>184</v>
      </c>
      <c r="Y3" s="29" t="s">
        <v>176</v>
      </c>
      <c r="Z3" s="29" t="s">
        <v>115</v>
      </c>
      <c r="AA3" s="29"/>
      <c r="AB3" s="29" t="s">
        <v>103</v>
      </c>
      <c r="AC3" s="29" t="s">
        <v>103</v>
      </c>
      <c r="AD3" s="29" t="s">
        <v>11</v>
      </c>
      <c r="AE3" s="40">
        <v>100000</v>
      </c>
      <c r="AF3" s="40">
        <v>100000</v>
      </c>
      <c r="AG3" s="29">
        <v>2</v>
      </c>
      <c r="AH3" s="29" t="s">
        <v>177</v>
      </c>
      <c r="AI3" s="29">
        <v>42700</v>
      </c>
      <c r="AJ3" s="29">
        <v>61000</v>
      </c>
      <c r="AK3" s="29">
        <v>79300</v>
      </c>
      <c r="AL3" s="30" t="s">
        <v>38</v>
      </c>
      <c r="AM3" s="30" t="s">
        <v>38</v>
      </c>
      <c r="AN3" s="29"/>
      <c r="AO3" s="42">
        <v>5000</v>
      </c>
      <c r="AP3" s="29"/>
      <c r="AQ3" s="42">
        <v>30</v>
      </c>
      <c r="AR3" s="29">
        <v>40</v>
      </c>
      <c r="AS3" s="29">
        <v>40</v>
      </c>
      <c r="AT3" s="29" t="s">
        <v>178</v>
      </c>
    </row>
    <row r="4" spans="1:46" ht="16.5">
      <c r="A4" s="38">
        <v>2002</v>
      </c>
      <c r="B4" s="38">
        <v>2002</v>
      </c>
      <c r="C4" s="38" t="s">
        <v>185</v>
      </c>
      <c r="D4" s="38" t="s">
        <v>185</v>
      </c>
      <c r="E4" s="44" t="s">
        <v>186</v>
      </c>
      <c r="F4" s="29" t="s">
        <v>187</v>
      </c>
      <c r="G4" s="29">
        <v>0</v>
      </c>
      <c r="H4" s="29"/>
      <c r="I4" s="44"/>
      <c r="J4" s="44" t="s">
        <v>188</v>
      </c>
      <c r="K4" s="44"/>
      <c r="L4" s="44" t="s">
        <v>171</v>
      </c>
      <c r="M4" s="39">
        <v>45767</v>
      </c>
      <c r="N4" s="39">
        <v>45767</v>
      </c>
      <c r="O4" s="29">
        <v>2001</v>
      </c>
      <c r="P4" s="29">
        <v>2001</v>
      </c>
      <c r="Q4" s="29" t="s">
        <v>189</v>
      </c>
      <c r="R4" s="44" t="s">
        <v>173</v>
      </c>
      <c r="S4" s="44" t="s">
        <v>173</v>
      </c>
      <c r="T4" s="29">
        <v>80</v>
      </c>
      <c r="U4" s="29" t="s">
        <v>174</v>
      </c>
      <c r="V4" s="29">
        <v>80</v>
      </c>
      <c r="W4" s="29" t="s">
        <v>174</v>
      </c>
      <c r="X4" s="29" t="s">
        <v>190</v>
      </c>
      <c r="Y4" s="29" t="s">
        <v>176</v>
      </c>
      <c r="Z4" s="29" t="s">
        <v>115</v>
      </c>
      <c r="AA4" s="29"/>
      <c r="AB4" s="29" t="s">
        <v>103</v>
      </c>
      <c r="AC4" s="29" t="s">
        <v>103</v>
      </c>
      <c r="AD4" s="29" t="s">
        <v>11</v>
      </c>
      <c r="AE4" s="40">
        <v>100000</v>
      </c>
      <c r="AF4" s="40">
        <v>100000</v>
      </c>
      <c r="AG4" s="29">
        <v>2</v>
      </c>
      <c r="AH4" s="29" t="s">
        <v>177</v>
      </c>
      <c r="AI4" s="29">
        <v>42700</v>
      </c>
      <c r="AJ4" s="29">
        <v>61000</v>
      </c>
      <c r="AK4" s="29">
        <v>79300</v>
      </c>
      <c r="AL4" s="30" t="s">
        <v>39</v>
      </c>
      <c r="AM4" s="30" t="s">
        <v>39</v>
      </c>
      <c r="AN4" s="29"/>
      <c r="AO4" s="42">
        <v>5000</v>
      </c>
      <c r="AP4" s="29"/>
      <c r="AQ4" s="42">
        <v>30</v>
      </c>
      <c r="AR4" s="29">
        <v>40</v>
      </c>
      <c r="AS4" s="29">
        <v>40</v>
      </c>
      <c r="AT4" s="29" t="s">
        <v>178</v>
      </c>
    </row>
    <row r="5" spans="1:46" ht="16.5">
      <c r="A5" s="29">
        <v>2008</v>
      </c>
      <c r="B5" s="29">
        <v>2008</v>
      </c>
      <c r="C5" s="29" t="s">
        <v>191</v>
      </c>
      <c r="D5" s="29" t="s">
        <v>191</v>
      </c>
      <c r="E5" s="44" t="s">
        <v>192</v>
      </c>
      <c r="F5" s="29" t="s">
        <v>193</v>
      </c>
      <c r="G5" s="29"/>
      <c r="H5" s="29"/>
      <c r="I5" s="44"/>
      <c r="J5" s="44" t="s">
        <v>194</v>
      </c>
      <c r="K5" s="44"/>
      <c r="L5" s="44" t="s">
        <v>171</v>
      </c>
      <c r="M5" s="39">
        <v>45767</v>
      </c>
      <c r="N5" s="39">
        <v>45767</v>
      </c>
      <c r="O5" s="29">
        <v>2001</v>
      </c>
      <c r="P5" s="29">
        <v>2001</v>
      </c>
      <c r="Q5" s="29" t="s">
        <v>195</v>
      </c>
      <c r="R5" s="44" t="s">
        <v>173</v>
      </c>
      <c r="S5" s="44" t="s">
        <v>173</v>
      </c>
      <c r="T5" s="29">
        <v>80</v>
      </c>
      <c r="U5" s="29" t="s">
        <v>174</v>
      </c>
      <c r="V5" s="29">
        <v>80</v>
      </c>
      <c r="W5" s="29" t="s">
        <v>174</v>
      </c>
      <c r="X5" s="29" t="s">
        <v>196</v>
      </c>
      <c r="Y5" s="29" t="s">
        <v>176</v>
      </c>
      <c r="Z5" s="29" t="s">
        <v>115</v>
      </c>
      <c r="AA5" s="29"/>
      <c r="AB5" s="29" t="s">
        <v>103</v>
      </c>
      <c r="AC5" s="29" t="s">
        <v>103</v>
      </c>
      <c r="AD5" s="29" t="s">
        <v>11</v>
      </c>
      <c r="AE5" s="40">
        <v>100000</v>
      </c>
      <c r="AF5" s="40">
        <v>100000</v>
      </c>
      <c r="AG5" s="29">
        <v>3</v>
      </c>
      <c r="AH5" s="29" t="s">
        <v>177</v>
      </c>
      <c r="AI5" s="29">
        <v>42700</v>
      </c>
      <c r="AJ5" s="29">
        <v>61000</v>
      </c>
      <c r="AK5" s="29">
        <v>79300</v>
      </c>
      <c r="AL5" s="30" t="s">
        <v>40</v>
      </c>
      <c r="AM5" s="30" t="s">
        <v>40</v>
      </c>
      <c r="AN5" s="29"/>
      <c r="AO5" s="42">
        <v>5000</v>
      </c>
      <c r="AP5" s="29"/>
      <c r="AQ5" s="42">
        <v>30</v>
      </c>
      <c r="AR5" s="29">
        <v>40</v>
      </c>
      <c r="AS5" s="29">
        <v>40</v>
      </c>
      <c r="AT5" s="29" t="s">
        <v>178</v>
      </c>
    </row>
    <row r="6" spans="1:46" ht="16.5">
      <c r="A6" s="29">
        <v>2005</v>
      </c>
      <c r="B6" s="29">
        <v>2005</v>
      </c>
      <c r="C6" s="29" t="s">
        <v>197</v>
      </c>
      <c r="D6" s="29" t="s">
        <v>197</v>
      </c>
      <c r="E6" s="44" t="s">
        <v>198</v>
      </c>
      <c r="F6" s="29" t="s">
        <v>199</v>
      </c>
      <c r="G6" s="29" t="b">
        <v>1</v>
      </c>
      <c r="H6" s="29"/>
      <c r="I6" s="44"/>
      <c r="J6" s="44" t="s">
        <v>200</v>
      </c>
      <c r="K6" s="44"/>
      <c r="L6" s="44" t="s">
        <v>171</v>
      </c>
      <c r="M6" s="39">
        <v>45767</v>
      </c>
      <c r="N6" s="39">
        <v>45767</v>
      </c>
      <c r="O6" s="29">
        <v>2001</v>
      </c>
      <c r="P6" s="29">
        <v>2001</v>
      </c>
      <c r="Q6" s="29" t="s">
        <v>183</v>
      </c>
      <c r="R6" s="44" t="s">
        <v>173</v>
      </c>
      <c r="S6" s="44" t="s">
        <v>173</v>
      </c>
      <c r="T6" s="29">
        <v>80</v>
      </c>
      <c r="U6" s="29" t="s">
        <v>174</v>
      </c>
      <c r="V6" s="29">
        <v>80</v>
      </c>
      <c r="W6" s="29" t="s">
        <v>174</v>
      </c>
      <c r="X6" s="29" t="s">
        <v>201</v>
      </c>
      <c r="Y6" s="29" t="s">
        <v>176</v>
      </c>
      <c r="Z6" s="29" t="s">
        <v>115</v>
      </c>
      <c r="AA6" s="29"/>
      <c r="AB6" s="29" t="s">
        <v>103</v>
      </c>
      <c r="AC6" s="29" t="s">
        <v>103</v>
      </c>
      <c r="AD6" s="29" t="s">
        <v>11</v>
      </c>
      <c r="AE6" s="40">
        <v>100000</v>
      </c>
      <c r="AF6" s="40">
        <v>100000</v>
      </c>
      <c r="AG6" s="29">
        <v>1</v>
      </c>
      <c r="AH6" s="29" t="s">
        <v>202</v>
      </c>
      <c r="AI6" s="29">
        <v>42700</v>
      </c>
      <c r="AJ6" s="29">
        <v>61000</v>
      </c>
      <c r="AK6" s="29">
        <v>79300</v>
      </c>
      <c r="AL6" s="30" t="s">
        <v>37</v>
      </c>
      <c r="AM6" s="30" t="s">
        <v>37</v>
      </c>
      <c r="AN6" s="29"/>
      <c r="AO6" s="42">
        <v>5000</v>
      </c>
      <c r="AP6" s="29"/>
      <c r="AQ6" s="42">
        <v>30</v>
      </c>
      <c r="AR6" s="29">
        <v>40</v>
      </c>
      <c r="AS6" s="29">
        <v>40</v>
      </c>
      <c r="AT6" s="29" t="s">
        <v>178</v>
      </c>
    </row>
    <row r="7" spans="1:46" ht="16.5">
      <c r="A7" s="29">
        <v>2010</v>
      </c>
      <c r="B7" s="29">
        <v>2010</v>
      </c>
      <c r="C7" s="29" t="s">
        <v>203</v>
      </c>
      <c r="D7" s="29" t="s">
        <v>203</v>
      </c>
      <c r="E7" s="44" t="s">
        <v>204</v>
      </c>
      <c r="F7" s="29" t="s">
        <v>205</v>
      </c>
      <c r="G7" s="29" t="s">
        <v>206</v>
      </c>
      <c r="H7" s="29"/>
      <c r="I7" s="44"/>
      <c r="J7" s="44" t="s">
        <v>207</v>
      </c>
      <c r="K7" s="44"/>
      <c r="L7" s="44" t="s">
        <v>171</v>
      </c>
      <c r="M7" s="39">
        <v>45767</v>
      </c>
      <c r="N7" s="39">
        <v>45767</v>
      </c>
      <c r="O7" s="29">
        <v>2001</v>
      </c>
      <c r="P7" s="29">
        <v>2001</v>
      </c>
      <c r="Q7" s="29" t="s">
        <v>208</v>
      </c>
      <c r="R7" s="44" t="s">
        <v>173</v>
      </c>
      <c r="S7" s="44" t="s">
        <v>173</v>
      </c>
      <c r="T7" s="29">
        <v>80</v>
      </c>
      <c r="U7" s="29" t="s">
        <v>174</v>
      </c>
      <c r="V7" s="29">
        <v>80</v>
      </c>
      <c r="W7" s="29" t="s">
        <v>174</v>
      </c>
      <c r="X7" s="29" t="s">
        <v>209</v>
      </c>
      <c r="Y7" s="29" t="s">
        <v>176</v>
      </c>
      <c r="Z7" s="29" t="s">
        <v>115</v>
      </c>
      <c r="AA7" s="29"/>
      <c r="AB7" s="29" t="s">
        <v>103</v>
      </c>
      <c r="AC7" s="29" t="s">
        <v>103</v>
      </c>
      <c r="AD7" s="29" t="s">
        <v>11</v>
      </c>
      <c r="AE7" s="40">
        <v>100000</v>
      </c>
      <c r="AF7" s="40">
        <v>100000</v>
      </c>
      <c r="AG7" s="29">
        <v>5</v>
      </c>
      <c r="AH7" s="29" t="s">
        <v>177</v>
      </c>
      <c r="AI7" s="29">
        <v>42700</v>
      </c>
      <c r="AJ7" s="29">
        <v>61000</v>
      </c>
      <c r="AK7" s="29">
        <v>79300</v>
      </c>
      <c r="AL7" s="30" t="s">
        <v>38</v>
      </c>
      <c r="AM7" s="30" t="s">
        <v>38</v>
      </c>
      <c r="AN7" s="29"/>
      <c r="AO7" s="42">
        <v>5000</v>
      </c>
      <c r="AP7" s="29"/>
      <c r="AQ7" s="42">
        <v>30</v>
      </c>
      <c r="AR7" s="29">
        <v>40</v>
      </c>
      <c r="AS7" s="29">
        <v>20</v>
      </c>
      <c r="AT7" s="29" t="s">
        <v>178</v>
      </c>
    </row>
    <row r="8" spans="1:46" ht="16.5">
      <c r="A8" s="29">
        <v>2007</v>
      </c>
      <c r="B8" s="29">
        <v>2007</v>
      </c>
      <c r="C8" s="29" t="s">
        <v>210</v>
      </c>
      <c r="D8" s="29" t="s">
        <v>210</v>
      </c>
      <c r="E8" s="44" t="s">
        <v>211</v>
      </c>
      <c r="F8" s="29" t="s">
        <v>212</v>
      </c>
      <c r="G8" s="29" t="s">
        <v>213</v>
      </c>
      <c r="H8" s="29"/>
      <c r="I8" s="44"/>
      <c r="J8" s="44" t="s">
        <v>214</v>
      </c>
      <c r="K8" s="44"/>
      <c r="L8" s="44" t="s">
        <v>171</v>
      </c>
      <c r="M8" s="39">
        <v>45767</v>
      </c>
      <c r="N8" s="39">
        <v>45767</v>
      </c>
      <c r="O8" s="29">
        <v>2001</v>
      </c>
      <c r="P8" s="29">
        <v>2001</v>
      </c>
      <c r="Q8" s="29" t="s">
        <v>183</v>
      </c>
      <c r="R8" s="44" t="s">
        <v>173</v>
      </c>
      <c r="S8" s="44" t="s">
        <v>173</v>
      </c>
      <c r="T8" s="29">
        <v>80</v>
      </c>
      <c r="U8" s="29" t="s">
        <v>174</v>
      </c>
      <c r="V8" s="29">
        <v>80</v>
      </c>
      <c r="W8" s="29" t="s">
        <v>174</v>
      </c>
      <c r="X8" s="29" t="s">
        <v>215</v>
      </c>
      <c r="Y8" s="29" t="s">
        <v>176</v>
      </c>
      <c r="Z8" s="29" t="s">
        <v>115</v>
      </c>
      <c r="AA8" s="29"/>
      <c r="AB8" s="29" t="s">
        <v>103</v>
      </c>
      <c r="AC8" s="29" t="s">
        <v>103</v>
      </c>
      <c r="AD8" s="29" t="s">
        <v>11</v>
      </c>
      <c r="AE8" s="40">
        <v>100000</v>
      </c>
      <c r="AF8" s="40">
        <v>100000</v>
      </c>
      <c r="AG8" s="29">
        <v>3</v>
      </c>
      <c r="AH8" s="29" t="s">
        <v>177</v>
      </c>
      <c r="AI8" s="29">
        <v>42700</v>
      </c>
      <c r="AJ8" s="29">
        <v>61000</v>
      </c>
      <c r="AK8" s="29">
        <v>79300</v>
      </c>
      <c r="AL8" s="30" t="s">
        <v>39</v>
      </c>
      <c r="AM8" s="30" t="s">
        <v>39</v>
      </c>
      <c r="AN8" s="29"/>
      <c r="AO8" s="42">
        <v>5000</v>
      </c>
      <c r="AP8" s="29"/>
      <c r="AQ8" s="42">
        <v>30</v>
      </c>
      <c r="AR8" s="29">
        <v>40</v>
      </c>
      <c r="AS8" s="29">
        <v>20</v>
      </c>
      <c r="AT8" s="29" t="s">
        <v>216</v>
      </c>
    </row>
    <row r="9" spans="1:46" ht="16.5">
      <c r="A9" s="29">
        <v>2006</v>
      </c>
      <c r="B9" s="29">
        <v>2006</v>
      </c>
      <c r="C9" s="29" t="s">
        <v>217</v>
      </c>
      <c r="D9" s="29" t="s">
        <v>217</v>
      </c>
      <c r="E9" s="44" t="s">
        <v>218</v>
      </c>
      <c r="F9" s="29" t="s">
        <v>219</v>
      </c>
      <c r="G9" s="29">
        <v>101</v>
      </c>
      <c r="H9" s="29"/>
      <c r="I9" s="44"/>
      <c r="J9" s="44" t="s">
        <v>220</v>
      </c>
      <c r="K9" s="44"/>
      <c r="L9" s="44" t="s">
        <v>171</v>
      </c>
      <c r="M9" s="39">
        <v>45767</v>
      </c>
      <c r="N9" s="39">
        <v>45767</v>
      </c>
      <c r="O9" s="29">
        <v>2001</v>
      </c>
      <c r="P9" s="29">
        <v>2001</v>
      </c>
      <c r="Q9" s="29" t="s">
        <v>183</v>
      </c>
      <c r="R9" s="44" t="s">
        <v>173</v>
      </c>
      <c r="S9" s="44" t="s">
        <v>173</v>
      </c>
      <c r="T9" s="29">
        <v>80</v>
      </c>
      <c r="U9" s="29" t="s">
        <v>174</v>
      </c>
      <c r="V9" s="29">
        <v>80</v>
      </c>
      <c r="W9" s="29" t="s">
        <v>174</v>
      </c>
      <c r="X9" s="29" t="s">
        <v>221</v>
      </c>
      <c r="Y9" s="29" t="s">
        <v>176</v>
      </c>
      <c r="Z9" s="29" t="s">
        <v>115</v>
      </c>
      <c r="AA9" s="29"/>
      <c r="AB9" s="29" t="s">
        <v>103</v>
      </c>
      <c r="AC9" s="29" t="s">
        <v>103</v>
      </c>
      <c r="AD9" s="29" t="s">
        <v>11</v>
      </c>
      <c r="AE9" s="40">
        <v>100000</v>
      </c>
      <c r="AF9" s="40">
        <v>100000</v>
      </c>
      <c r="AG9" s="29">
        <v>3</v>
      </c>
      <c r="AH9" s="29" t="s">
        <v>177</v>
      </c>
      <c r="AI9" s="29">
        <v>42700</v>
      </c>
      <c r="AJ9" s="29">
        <v>61000</v>
      </c>
      <c r="AK9" s="29">
        <v>79300</v>
      </c>
      <c r="AL9" s="30" t="s">
        <v>40</v>
      </c>
      <c r="AM9" s="30" t="s">
        <v>40</v>
      </c>
      <c r="AN9" s="29"/>
      <c r="AO9" s="42">
        <v>5000</v>
      </c>
      <c r="AP9" s="29"/>
      <c r="AQ9" s="42">
        <v>30</v>
      </c>
      <c r="AR9" s="29">
        <v>40</v>
      </c>
      <c r="AS9" s="29">
        <v>20</v>
      </c>
      <c r="AT9" s="29" t="s">
        <v>216</v>
      </c>
    </row>
    <row r="10" spans="1:46" ht="16.5">
      <c r="A10" s="29">
        <v>2003</v>
      </c>
      <c r="B10" s="29">
        <v>2003</v>
      </c>
      <c r="C10" s="29" t="s">
        <v>222</v>
      </c>
      <c r="D10" s="29" t="s">
        <v>222</v>
      </c>
      <c r="E10" s="44" t="s">
        <v>223</v>
      </c>
      <c r="F10" s="29" t="s">
        <v>224</v>
      </c>
      <c r="G10" s="29" t="s">
        <v>213</v>
      </c>
      <c r="H10" s="29"/>
      <c r="I10" s="44"/>
      <c r="J10" s="44" t="s">
        <v>225</v>
      </c>
      <c r="K10" s="44"/>
      <c r="L10" s="44" t="s">
        <v>171</v>
      </c>
      <c r="M10" s="39">
        <v>45767</v>
      </c>
      <c r="N10" s="39">
        <v>45767</v>
      </c>
      <c r="O10" s="29" t="s">
        <v>226</v>
      </c>
      <c r="P10" s="29" t="s">
        <v>226</v>
      </c>
      <c r="Q10" s="29" t="s">
        <v>195</v>
      </c>
      <c r="R10" s="44" t="s">
        <v>173</v>
      </c>
      <c r="S10" s="44" t="s">
        <v>173</v>
      </c>
      <c r="T10" s="29">
        <v>80</v>
      </c>
      <c r="U10" s="29" t="s">
        <v>174</v>
      </c>
      <c r="V10" s="29">
        <v>80</v>
      </c>
      <c r="W10" s="29" t="s">
        <v>174</v>
      </c>
      <c r="X10" s="29" t="s">
        <v>227</v>
      </c>
      <c r="Y10" s="29" t="s">
        <v>176</v>
      </c>
      <c r="Z10" s="29" t="s">
        <v>115</v>
      </c>
      <c r="AA10" s="29"/>
      <c r="AB10" s="29" t="s">
        <v>103</v>
      </c>
      <c r="AC10" s="29" t="s">
        <v>103</v>
      </c>
      <c r="AD10" s="29" t="s">
        <v>11</v>
      </c>
      <c r="AE10" s="40">
        <v>100000</v>
      </c>
      <c r="AF10" s="40">
        <v>100000</v>
      </c>
      <c r="AG10" s="29">
        <v>3</v>
      </c>
      <c r="AH10" s="29" t="s">
        <v>228</v>
      </c>
      <c r="AI10" s="29">
        <v>42700</v>
      </c>
      <c r="AJ10" s="29">
        <v>61000</v>
      </c>
      <c r="AK10" s="29">
        <v>79300</v>
      </c>
      <c r="AL10" s="30" t="s">
        <v>37</v>
      </c>
      <c r="AM10" s="30" t="s">
        <v>37</v>
      </c>
      <c r="AN10" s="29"/>
      <c r="AO10" s="42">
        <v>5000</v>
      </c>
      <c r="AP10" s="29"/>
      <c r="AQ10" s="42">
        <v>30</v>
      </c>
      <c r="AR10" s="29">
        <v>40</v>
      </c>
      <c r="AS10" s="29">
        <v>20</v>
      </c>
      <c r="AT10" s="29" t="s">
        <v>216</v>
      </c>
    </row>
    <row r="11" spans="1:46" ht="16.5">
      <c r="A11" s="29">
        <v>2011</v>
      </c>
      <c r="B11" s="29">
        <v>2011</v>
      </c>
      <c r="C11" s="29" t="s">
        <v>229</v>
      </c>
      <c r="D11" s="29" t="s">
        <v>229</v>
      </c>
      <c r="E11" s="44" t="s">
        <v>230</v>
      </c>
      <c r="F11" s="29" t="s">
        <v>231</v>
      </c>
      <c r="G11" s="29" t="s">
        <v>206</v>
      </c>
      <c r="H11" s="29"/>
      <c r="I11" s="44"/>
      <c r="J11" s="44" t="s">
        <v>232</v>
      </c>
      <c r="K11" s="44"/>
      <c r="L11" s="44" t="s">
        <v>171</v>
      </c>
      <c r="M11" s="39">
        <v>45767</v>
      </c>
      <c r="N11" s="39">
        <v>45767</v>
      </c>
      <c r="O11" s="29">
        <v>2001</v>
      </c>
      <c r="P11" s="29">
        <v>2001</v>
      </c>
      <c r="Q11" s="29" t="s">
        <v>172</v>
      </c>
      <c r="R11" s="44" t="s">
        <v>173</v>
      </c>
      <c r="S11" s="44" t="s">
        <v>173</v>
      </c>
      <c r="T11" s="29">
        <v>80</v>
      </c>
      <c r="U11" s="29" t="s">
        <v>174</v>
      </c>
      <c r="V11" s="29">
        <v>80</v>
      </c>
      <c r="W11" s="29" t="s">
        <v>174</v>
      </c>
      <c r="X11" s="29" t="s">
        <v>233</v>
      </c>
      <c r="Y11" s="29" t="s">
        <v>176</v>
      </c>
      <c r="Z11" s="29" t="s">
        <v>115</v>
      </c>
      <c r="AA11" s="29"/>
      <c r="AB11" s="29" t="s">
        <v>103</v>
      </c>
      <c r="AC11" s="29" t="s">
        <v>103</v>
      </c>
      <c r="AD11" s="29" t="s">
        <v>11</v>
      </c>
      <c r="AE11" s="40">
        <v>100000</v>
      </c>
      <c r="AF11" s="40">
        <v>100000</v>
      </c>
      <c r="AG11" s="29">
        <v>5</v>
      </c>
      <c r="AH11" s="29" t="s">
        <v>234</v>
      </c>
      <c r="AI11" s="29">
        <v>42700</v>
      </c>
      <c r="AJ11" s="29">
        <v>61000</v>
      </c>
      <c r="AK11" s="29">
        <v>79300</v>
      </c>
      <c r="AL11" s="30" t="s">
        <v>38</v>
      </c>
      <c r="AM11" s="30" t="s">
        <v>38</v>
      </c>
      <c r="AN11" s="29"/>
      <c r="AO11" s="42">
        <v>5000</v>
      </c>
      <c r="AP11" s="29"/>
      <c r="AQ11" s="42">
        <v>30</v>
      </c>
      <c r="AR11" s="29">
        <v>40</v>
      </c>
      <c r="AS11" s="29">
        <v>20</v>
      </c>
      <c r="AT11" s="29" t="s">
        <v>216</v>
      </c>
    </row>
    <row r="12" spans="1:46" ht="16.5">
      <c r="A12" s="29">
        <v>2012</v>
      </c>
      <c r="B12" s="29">
        <v>2012</v>
      </c>
      <c r="C12" s="29" t="s">
        <v>235</v>
      </c>
      <c r="D12" s="29" t="s">
        <v>235</v>
      </c>
      <c r="E12" s="44" t="s">
        <v>236</v>
      </c>
      <c r="F12" s="29" t="s">
        <v>237</v>
      </c>
      <c r="G12" s="29" t="s">
        <v>206</v>
      </c>
      <c r="H12" s="29"/>
      <c r="I12" s="44"/>
      <c r="J12" s="44" t="s">
        <v>238</v>
      </c>
      <c r="K12" s="44"/>
      <c r="L12" s="44" t="s">
        <v>171</v>
      </c>
      <c r="M12" s="39">
        <v>45767</v>
      </c>
      <c r="N12" s="39">
        <v>45767</v>
      </c>
      <c r="O12" s="29">
        <v>2001</v>
      </c>
      <c r="P12" s="29">
        <v>2001</v>
      </c>
      <c r="Q12" s="29" t="s">
        <v>208</v>
      </c>
      <c r="R12" s="44" t="s">
        <v>173</v>
      </c>
      <c r="S12" s="44" t="s">
        <v>173</v>
      </c>
      <c r="T12" s="29">
        <v>80</v>
      </c>
      <c r="U12" s="29" t="s">
        <v>174</v>
      </c>
      <c r="V12" s="29">
        <v>80</v>
      </c>
      <c r="W12" s="29" t="s">
        <v>174</v>
      </c>
      <c r="X12" s="29" t="s">
        <v>239</v>
      </c>
      <c r="Y12" s="29" t="s">
        <v>176</v>
      </c>
      <c r="Z12" s="29" t="s">
        <v>115</v>
      </c>
      <c r="AA12" s="29"/>
      <c r="AB12" s="29" t="s">
        <v>103</v>
      </c>
      <c r="AC12" s="29" t="s">
        <v>103</v>
      </c>
      <c r="AD12" s="29" t="s">
        <v>9</v>
      </c>
      <c r="AE12" s="40">
        <v>100000</v>
      </c>
      <c r="AF12" s="40">
        <v>100000</v>
      </c>
      <c r="AG12" s="29">
        <v>4</v>
      </c>
      <c r="AH12" s="29" t="s">
        <v>228</v>
      </c>
      <c r="AI12" s="29">
        <v>42700</v>
      </c>
      <c r="AJ12" s="29">
        <v>61000</v>
      </c>
      <c r="AK12" s="29">
        <v>79300</v>
      </c>
      <c r="AL12" s="30" t="s">
        <v>39</v>
      </c>
      <c r="AM12" s="30" t="s">
        <v>39</v>
      </c>
      <c r="AN12" s="29"/>
      <c r="AO12" s="42">
        <v>5000</v>
      </c>
      <c r="AP12" s="29"/>
      <c r="AQ12" s="42">
        <v>30</v>
      </c>
      <c r="AR12" s="29">
        <v>40</v>
      </c>
      <c r="AS12" s="29">
        <v>20</v>
      </c>
      <c r="AT12" s="29" t="s">
        <v>216</v>
      </c>
    </row>
    <row r="13" spans="1:46" ht="16.5">
      <c r="A13" s="29">
        <v>2013</v>
      </c>
      <c r="B13" s="29">
        <v>2013</v>
      </c>
      <c r="C13" s="29" t="s">
        <v>240</v>
      </c>
      <c r="D13" s="29" t="s">
        <v>240</v>
      </c>
      <c r="E13" s="44" t="s">
        <v>241</v>
      </c>
      <c r="F13" s="29" t="s">
        <v>242</v>
      </c>
      <c r="G13" s="29" t="s">
        <v>243</v>
      </c>
      <c r="H13" s="29"/>
      <c r="I13" s="44"/>
      <c r="J13" s="44" t="s">
        <v>170</v>
      </c>
      <c r="K13" s="44"/>
      <c r="L13" s="44" t="s">
        <v>171</v>
      </c>
      <c r="M13" s="39">
        <v>45767</v>
      </c>
      <c r="N13" s="39">
        <v>45767</v>
      </c>
      <c r="O13" s="29">
        <v>4545</v>
      </c>
      <c r="P13" s="29">
        <v>4545</v>
      </c>
      <c r="Q13" s="29" t="s">
        <v>189</v>
      </c>
      <c r="R13" s="44" t="s">
        <v>244</v>
      </c>
      <c r="S13" s="44" t="s">
        <v>244</v>
      </c>
      <c r="T13" s="29">
        <v>80</v>
      </c>
      <c r="U13" s="29" t="s">
        <v>174</v>
      </c>
      <c r="V13" s="29">
        <v>80</v>
      </c>
      <c r="W13" s="29" t="s">
        <v>174</v>
      </c>
      <c r="X13" s="29" t="s">
        <v>245</v>
      </c>
      <c r="Y13" s="29" t="s">
        <v>176</v>
      </c>
      <c r="Z13" s="29" t="s">
        <v>115</v>
      </c>
      <c r="AA13" s="29"/>
      <c r="AB13" s="29" t="s">
        <v>103</v>
      </c>
      <c r="AC13" s="29" t="s">
        <v>103</v>
      </c>
      <c r="AD13" s="29" t="s">
        <v>9</v>
      </c>
      <c r="AE13" s="40">
        <v>100000</v>
      </c>
      <c r="AF13" s="40">
        <v>100000</v>
      </c>
      <c r="AG13" s="29">
        <v>4</v>
      </c>
      <c r="AH13" s="29" t="s">
        <v>228</v>
      </c>
      <c r="AI13" s="29">
        <v>42700</v>
      </c>
      <c r="AJ13" s="29">
        <v>61000</v>
      </c>
      <c r="AK13" s="29">
        <v>79300</v>
      </c>
      <c r="AL13" s="30" t="s">
        <v>40</v>
      </c>
      <c r="AM13" s="30" t="s">
        <v>40</v>
      </c>
      <c r="AN13" s="29"/>
      <c r="AO13" s="42">
        <v>5000</v>
      </c>
      <c r="AP13" s="29"/>
      <c r="AQ13" s="42">
        <v>30</v>
      </c>
      <c r="AR13" s="29">
        <v>40</v>
      </c>
      <c r="AS13" s="29">
        <v>20</v>
      </c>
      <c r="AT13" s="29" t="s">
        <v>216</v>
      </c>
    </row>
    <row r="14" spans="1:46" ht="16.5">
      <c r="A14" s="29">
        <v>94</v>
      </c>
      <c r="B14" s="29">
        <v>94</v>
      </c>
      <c r="C14" s="29" t="s">
        <v>246</v>
      </c>
      <c r="D14" s="29" t="s">
        <v>246</v>
      </c>
      <c r="E14" s="44" t="s">
        <v>176</v>
      </c>
      <c r="F14" s="29" t="s">
        <v>247</v>
      </c>
      <c r="G14" s="29" t="s">
        <v>243</v>
      </c>
      <c r="H14" s="29"/>
      <c r="I14" s="44"/>
      <c r="J14" s="44" t="s">
        <v>182</v>
      </c>
      <c r="K14" s="44"/>
      <c r="L14" s="44" t="s">
        <v>171</v>
      </c>
      <c r="M14" s="39">
        <v>45767</v>
      </c>
      <c r="N14" s="39">
        <v>45767</v>
      </c>
      <c r="O14" s="29">
        <v>72</v>
      </c>
      <c r="P14" s="29">
        <v>72</v>
      </c>
      <c r="Q14" s="29" t="s">
        <v>248</v>
      </c>
      <c r="R14" s="44" t="s">
        <v>249</v>
      </c>
      <c r="S14" s="44" t="s">
        <v>249</v>
      </c>
      <c r="T14" s="29">
        <v>80</v>
      </c>
      <c r="U14" s="29" t="s">
        <v>174</v>
      </c>
      <c r="V14" s="29">
        <v>80</v>
      </c>
      <c r="W14" s="29" t="s">
        <v>174</v>
      </c>
      <c r="X14" s="29" t="s">
        <v>250</v>
      </c>
      <c r="Y14" s="29" t="s">
        <v>251</v>
      </c>
      <c r="Z14" s="29" t="s">
        <v>96</v>
      </c>
      <c r="AA14" s="29"/>
      <c r="AB14" s="29" t="s">
        <v>97</v>
      </c>
      <c r="AC14" s="29" t="s">
        <v>97</v>
      </c>
      <c r="AD14" s="29" t="s">
        <v>6</v>
      </c>
      <c r="AE14" s="40">
        <v>100000</v>
      </c>
      <c r="AF14" s="40">
        <v>100000</v>
      </c>
      <c r="AG14" s="29"/>
      <c r="AH14" s="29" t="s">
        <v>234</v>
      </c>
      <c r="AI14" s="29">
        <v>14000</v>
      </c>
      <c r="AJ14" s="29">
        <v>18600</v>
      </c>
      <c r="AK14" s="29">
        <v>22800</v>
      </c>
      <c r="AL14" s="30" t="s">
        <v>37</v>
      </c>
      <c r="AM14" s="30" t="s">
        <v>37</v>
      </c>
      <c r="AN14" s="29"/>
      <c r="AO14" s="42">
        <v>5000</v>
      </c>
      <c r="AP14" s="29"/>
      <c r="AQ14" s="42">
        <v>30</v>
      </c>
      <c r="AR14" s="29">
        <v>40</v>
      </c>
      <c r="AS14" s="29">
        <v>20</v>
      </c>
      <c r="AT14" s="29" t="s">
        <v>252</v>
      </c>
    </row>
    <row r="15" spans="1:46" ht="16.5">
      <c r="A15" s="29">
        <v>73</v>
      </c>
      <c r="B15" s="29">
        <v>73</v>
      </c>
      <c r="C15" s="29" t="s">
        <v>253</v>
      </c>
      <c r="D15" s="29" t="s">
        <v>253</v>
      </c>
      <c r="E15" s="44" t="s">
        <v>254</v>
      </c>
      <c r="F15" s="29" t="s">
        <v>255</v>
      </c>
      <c r="G15" s="29" t="s">
        <v>256</v>
      </c>
      <c r="H15" s="29"/>
      <c r="I15" s="44"/>
      <c r="J15" s="44" t="s">
        <v>188</v>
      </c>
      <c r="K15" s="44"/>
      <c r="L15" s="44" t="s">
        <v>171</v>
      </c>
      <c r="M15" s="39">
        <v>45767</v>
      </c>
      <c r="N15" s="39">
        <v>45767</v>
      </c>
      <c r="O15" s="29">
        <v>72</v>
      </c>
      <c r="P15" s="29">
        <v>72</v>
      </c>
      <c r="Q15" s="29" t="s">
        <v>195</v>
      </c>
      <c r="R15" s="44" t="s">
        <v>249</v>
      </c>
      <c r="S15" s="44" t="s">
        <v>249</v>
      </c>
      <c r="T15" s="29">
        <v>80</v>
      </c>
      <c r="U15" s="29" t="s">
        <v>174</v>
      </c>
      <c r="V15" s="29">
        <v>80</v>
      </c>
      <c r="W15" s="29" t="s">
        <v>174</v>
      </c>
      <c r="X15" s="29" t="s">
        <v>257</v>
      </c>
      <c r="Y15" s="29" t="s">
        <v>258</v>
      </c>
      <c r="Z15" s="29" t="s">
        <v>96</v>
      </c>
      <c r="AA15" s="29"/>
      <c r="AB15" s="29" t="s">
        <v>109</v>
      </c>
      <c r="AC15" s="29" t="s">
        <v>109</v>
      </c>
      <c r="AD15" s="29" t="s">
        <v>6</v>
      </c>
      <c r="AE15" s="40">
        <v>100000</v>
      </c>
      <c r="AF15" s="40">
        <v>100000</v>
      </c>
      <c r="AG15" s="29" t="s">
        <v>259</v>
      </c>
      <c r="AH15" s="29" t="s">
        <v>260</v>
      </c>
      <c r="AI15" s="29">
        <v>81000</v>
      </c>
      <c r="AJ15" s="29">
        <v>135000</v>
      </c>
      <c r="AK15" s="29">
        <v>189000</v>
      </c>
      <c r="AL15" s="30" t="s">
        <v>38</v>
      </c>
      <c r="AM15" s="30" t="s">
        <v>38</v>
      </c>
      <c r="AN15" s="29"/>
      <c r="AO15" s="42">
        <v>5000</v>
      </c>
      <c r="AP15" s="29"/>
      <c r="AQ15" s="42">
        <v>30</v>
      </c>
      <c r="AR15" s="29">
        <v>40</v>
      </c>
      <c r="AS15" s="29">
        <v>0</v>
      </c>
      <c r="AT15" s="29" t="s">
        <v>252</v>
      </c>
    </row>
    <row r="16" spans="1:46" ht="16.5">
      <c r="A16" s="29">
        <v>88</v>
      </c>
      <c r="B16" s="29">
        <v>88</v>
      </c>
      <c r="C16" s="29" t="s">
        <v>261</v>
      </c>
      <c r="D16" s="29" t="s">
        <v>261</v>
      </c>
      <c r="E16" s="44" t="s">
        <v>262</v>
      </c>
      <c r="F16" s="29" t="s">
        <v>263</v>
      </c>
      <c r="G16" s="29" t="s">
        <v>243</v>
      </c>
      <c r="H16" s="29"/>
      <c r="I16" s="44"/>
      <c r="J16" s="44" t="s">
        <v>194</v>
      </c>
      <c r="K16" s="44"/>
      <c r="L16" s="44" t="s">
        <v>171</v>
      </c>
      <c r="M16" s="39">
        <v>45767</v>
      </c>
      <c r="N16" s="39">
        <v>45767</v>
      </c>
      <c r="O16" s="29">
        <v>72</v>
      </c>
      <c r="P16" s="29">
        <v>72</v>
      </c>
      <c r="Q16" s="29" t="s">
        <v>195</v>
      </c>
      <c r="R16" s="44" t="s">
        <v>249</v>
      </c>
      <c r="S16" s="44" t="s">
        <v>249</v>
      </c>
      <c r="T16" s="29">
        <v>80</v>
      </c>
      <c r="U16" s="29" t="s">
        <v>174</v>
      </c>
      <c r="V16" s="29">
        <v>80</v>
      </c>
      <c r="W16" s="29" t="s">
        <v>174</v>
      </c>
      <c r="X16" s="29" t="s">
        <v>264</v>
      </c>
      <c r="Y16" s="29" t="s">
        <v>192</v>
      </c>
      <c r="Z16" s="29" t="s">
        <v>96</v>
      </c>
      <c r="AA16" s="29"/>
      <c r="AB16" s="29" t="s">
        <v>100</v>
      </c>
      <c r="AC16" s="29" t="s">
        <v>100</v>
      </c>
      <c r="AD16" s="29" t="s">
        <v>6</v>
      </c>
      <c r="AE16" s="40">
        <v>100000</v>
      </c>
      <c r="AF16" s="40">
        <v>100000</v>
      </c>
      <c r="AG16" s="29">
        <v>3</v>
      </c>
      <c r="AH16" s="29" t="s">
        <v>177</v>
      </c>
      <c r="AI16" s="29">
        <v>23700</v>
      </c>
      <c r="AJ16" s="29">
        <v>31500</v>
      </c>
      <c r="AK16" s="29">
        <v>39400</v>
      </c>
      <c r="AL16" s="30" t="s">
        <v>39</v>
      </c>
      <c r="AM16" s="30" t="s">
        <v>39</v>
      </c>
      <c r="AN16" s="29"/>
      <c r="AO16" s="42">
        <v>5000</v>
      </c>
      <c r="AP16" s="29"/>
      <c r="AQ16" s="42">
        <v>30</v>
      </c>
      <c r="AR16" s="29">
        <v>40</v>
      </c>
      <c r="AS16" s="29">
        <v>0</v>
      </c>
      <c r="AT16" s="29" t="s">
        <v>252</v>
      </c>
    </row>
    <row r="17" spans="1:46" ht="29.25" customHeight="1">
      <c r="A17" s="29">
        <v>91</v>
      </c>
      <c r="B17" s="29">
        <v>91</v>
      </c>
      <c r="C17" s="29" t="s">
        <v>265</v>
      </c>
      <c r="D17" s="29" t="s">
        <v>265</v>
      </c>
      <c r="E17" s="44" t="s">
        <v>266</v>
      </c>
      <c r="F17" s="29" t="s">
        <v>267</v>
      </c>
      <c r="G17" s="29" t="s">
        <v>256</v>
      </c>
      <c r="H17" s="29"/>
      <c r="I17" s="44"/>
      <c r="J17" s="44" t="s">
        <v>200</v>
      </c>
      <c r="K17" s="44"/>
      <c r="L17" s="44" t="s">
        <v>171</v>
      </c>
      <c r="M17" s="39">
        <v>45767</v>
      </c>
      <c r="N17" s="39">
        <v>45767</v>
      </c>
      <c r="O17" s="29">
        <v>72</v>
      </c>
      <c r="P17" s="29">
        <v>72</v>
      </c>
      <c r="Q17" s="29" t="s">
        <v>226</v>
      </c>
      <c r="R17" s="44" t="s">
        <v>249</v>
      </c>
      <c r="S17" s="44" t="s">
        <v>249</v>
      </c>
      <c r="T17" s="29">
        <v>80</v>
      </c>
      <c r="U17" s="29" t="s">
        <v>174</v>
      </c>
      <c r="V17" s="29">
        <v>80</v>
      </c>
      <c r="W17" s="29" t="s">
        <v>174</v>
      </c>
      <c r="X17" s="29" t="s">
        <v>268</v>
      </c>
      <c r="Y17" s="29" t="s">
        <v>186</v>
      </c>
      <c r="Z17" s="29" t="s">
        <v>96</v>
      </c>
      <c r="AA17" s="29"/>
      <c r="AB17" s="29" t="s">
        <v>99</v>
      </c>
      <c r="AC17" s="29" t="s">
        <v>99</v>
      </c>
      <c r="AD17" s="29" t="s">
        <v>6</v>
      </c>
      <c r="AE17" s="40">
        <v>100000</v>
      </c>
      <c r="AF17" s="40">
        <v>100000</v>
      </c>
      <c r="AG17" s="29">
        <v>3</v>
      </c>
      <c r="AH17" s="29" t="s">
        <v>177</v>
      </c>
      <c r="AI17" s="29">
        <v>8000</v>
      </c>
      <c r="AJ17" s="29">
        <v>12000</v>
      </c>
      <c r="AK17" s="29">
        <v>12000</v>
      </c>
      <c r="AL17" s="30" t="s">
        <v>40</v>
      </c>
      <c r="AM17" s="30" t="s">
        <v>40</v>
      </c>
      <c r="AN17" s="29"/>
      <c r="AO17" s="42">
        <v>5000</v>
      </c>
      <c r="AP17" s="29"/>
      <c r="AQ17" s="42">
        <v>30</v>
      </c>
      <c r="AR17" s="29">
        <v>40</v>
      </c>
      <c r="AS17" s="29">
        <v>0</v>
      </c>
      <c r="AT17" s="29" t="s">
        <v>252</v>
      </c>
    </row>
    <row r="18" spans="1:46" ht="33">
      <c r="A18" s="29">
        <v>92</v>
      </c>
      <c r="B18" s="29">
        <v>92</v>
      </c>
      <c r="C18" s="29" t="s">
        <v>269</v>
      </c>
      <c r="D18" s="29" t="s">
        <v>269</v>
      </c>
      <c r="E18" s="44" t="s">
        <v>270</v>
      </c>
      <c r="F18" s="29" t="s">
        <v>271</v>
      </c>
      <c r="G18" s="29" t="s">
        <v>256</v>
      </c>
      <c r="H18" s="29"/>
      <c r="I18" s="44"/>
      <c r="J18" s="44" t="s">
        <v>207</v>
      </c>
      <c r="K18" s="44"/>
      <c r="L18" s="44" t="s">
        <v>171</v>
      </c>
      <c r="M18" s="39">
        <v>45767</v>
      </c>
      <c r="N18" s="39">
        <v>45767</v>
      </c>
      <c r="O18" s="29">
        <v>72</v>
      </c>
      <c r="P18" s="29">
        <v>72</v>
      </c>
      <c r="Q18" s="29" t="s">
        <v>183</v>
      </c>
      <c r="R18" s="44" t="s">
        <v>249</v>
      </c>
      <c r="S18" s="44" t="s">
        <v>249</v>
      </c>
      <c r="T18" s="29">
        <v>80</v>
      </c>
      <c r="U18" s="29" t="s">
        <v>174</v>
      </c>
      <c r="V18" s="29">
        <v>80</v>
      </c>
      <c r="W18" s="29" t="s">
        <v>174</v>
      </c>
      <c r="X18" s="29" t="s">
        <v>272</v>
      </c>
      <c r="Y18" s="29" t="s">
        <v>186</v>
      </c>
      <c r="Z18" s="29" t="s">
        <v>96</v>
      </c>
      <c r="AA18" s="29"/>
      <c r="AB18" s="29" t="s">
        <v>99</v>
      </c>
      <c r="AC18" s="29" t="s">
        <v>99</v>
      </c>
      <c r="AD18" s="29" t="s">
        <v>6</v>
      </c>
      <c r="AE18" s="40">
        <v>100000</v>
      </c>
      <c r="AF18" s="40">
        <v>100000</v>
      </c>
      <c r="AG18" s="29">
        <v>3</v>
      </c>
      <c r="AH18" s="29" t="s">
        <v>177</v>
      </c>
      <c r="AI18" s="29">
        <v>8000</v>
      </c>
      <c r="AJ18" s="29">
        <v>12000</v>
      </c>
      <c r="AK18" s="29">
        <v>12000</v>
      </c>
      <c r="AL18" s="30" t="s">
        <v>37</v>
      </c>
      <c r="AM18" s="30" t="s">
        <v>37</v>
      </c>
      <c r="AN18" s="29"/>
      <c r="AO18" s="42">
        <v>5000</v>
      </c>
      <c r="AP18" s="29"/>
      <c r="AQ18" s="42">
        <v>30</v>
      </c>
      <c r="AR18" s="29">
        <v>40</v>
      </c>
      <c r="AS18" s="29">
        <v>50</v>
      </c>
      <c r="AT18" s="29" t="s">
        <v>252</v>
      </c>
    </row>
    <row r="19" spans="1:46" ht="16.5">
      <c r="A19" s="29">
        <v>111</v>
      </c>
      <c r="B19" s="29">
        <v>111</v>
      </c>
      <c r="C19" s="29" t="s">
        <v>273</v>
      </c>
      <c r="D19" s="29" t="s">
        <v>273</v>
      </c>
      <c r="E19" s="44" t="s">
        <v>274</v>
      </c>
      <c r="F19" s="29" t="s">
        <v>275</v>
      </c>
      <c r="G19" s="29" t="s">
        <v>256</v>
      </c>
      <c r="H19" s="29"/>
      <c r="I19" s="44"/>
      <c r="J19" s="44" t="s">
        <v>214</v>
      </c>
      <c r="K19" s="44"/>
      <c r="L19" s="44" t="s">
        <v>171</v>
      </c>
      <c r="M19" s="39">
        <v>45767</v>
      </c>
      <c r="N19" s="39">
        <v>45767</v>
      </c>
      <c r="O19" s="29">
        <v>72</v>
      </c>
      <c r="P19" s="29">
        <v>72</v>
      </c>
      <c r="Q19" s="29" t="s">
        <v>195</v>
      </c>
      <c r="R19" s="44" t="s">
        <v>249</v>
      </c>
      <c r="S19" s="44" t="s">
        <v>249</v>
      </c>
      <c r="T19" s="29">
        <v>80</v>
      </c>
      <c r="U19" s="29" t="s">
        <v>174</v>
      </c>
      <c r="V19" s="29">
        <v>80</v>
      </c>
      <c r="W19" s="29" t="s">
        <v>174</v>
      </c>
      <c r="X19" s="29" t="s">
        <v>276</v>
      </c>
      <c r="Y19" s="29" t="s">
        <v>251</v>
      </c>
      <c r="Z19" s="29" t="s">
        <v>96</v>
      </c>
      <c r="AB19" s="29" t="s">
        <v>97</v>
      </c>
      <c r="AC19" s="29" t="s">
        <v>97</v>
      </c>
      <c r="AD19" s="29" t="s">
        <v>6</v>
      </c>
      <c r="AE19" s="40">
        <v>100000</v>
      </c>
      <c r="AF19" s="40">
        <v>100000</v>
      </c>
      <c r="AG19" s="29">
        <v>1</v>
      </c>
      <c r="AH19" s="29" t="s">
        <v>202</v>
      </c>
      <c r="AI19" s="29">
        <v>14000</v>
      </c>
      <c r="AJ19" s="29">
        <v>18600</v>
      </c>
      <c r="AK19" s="29">
        <v>22800</v>
      </c>
      <c r="AL19" s="30" t="s">
        <v>38</v>
      </c>
      <c r="AM19" s="30" t="s">
        <v>38</v>
      </c>
      <c r="AN19" s="29"/>
      <c r="AO19" s="42">
        <v>5000</v>
      </c>
      <c r="AP19" s="29"/>
      <c r="AQ19" s="42">
        <v>30</v>
      </c>
      <c r="AR19" s="29">
        <v>40</v>
      </c>
      <c r="AS19" s="29">
        <v>50</v>
      </c>
      <c r="AT19" s="29" t="s">
        <v>252</v>
      </c>
    </row>
    <row r="20" spans="1:46" ht="16.5">
      <c r="A20" s="29">
        <v>110</v>
      </c>
      <c r="B20" s="29">
        <v>110</v>
      </c>
      <c r="C20" s="29" t="s">
        <v>277</v>
      </c>
      <c r="D20" s="29" t="s">
        <v>277</v>
      </c>
      <c r="E20" s="44" t="s">
        <v>278</v>
      </c>
      <c r="F20" s="29" t="s">
        <v>279</v>
      </c>
      <c r="G20" s="29" t="s">
        <v>256</v>
      </c>
      <c r="H20" s="29"/>
      <c r="I20" s="44"/>
      <c r="J20" s="44" t="s">
        <v>220</v>
      </c>
      <c r="K20" s="44"/>
      <c r="L20" s="44" t="s">
        <v>171</v>
      </c>
      <c r="M20" s="39">
        <v>45767</v>
      </c>
      <c r="N20" s="39">
        <v>45767</v>
      </c>
      <c r="O20" s="29">
        <v>72</v>
      </c>
      <c r="P20" s="29">
        <v>72</v>
      </c>
      <c r="Q20" s="29" t="s">
        <v>172</v>
      </c>
      <c r="R20" s="44" t="s">
        <v>249</v>
      </c>
      <c r="S20" s="44" t="s">
        <v>249</v>
      </c>
      <c r="T20" s="29">
        <v>80</v>
      </c>
      <c r="U20" s="29" t="s">
        <v>174</v>
      </c>
      <c r="V20" s="29">
        <v>80</v>
      </c>
      <c r="W20" s="29" t="s">
        <v>174</v>
      </c>
      <c r="X20" s="29" t="s">
        <v>280</v>
      </c>
      <c r="Y20" s="29" t="s">
        <v>251</v>
      </c>
      <c r="Z20" s="29" t="s">
        <v>96</v>
      </c>
      <c r="AA20" s="29"/>
      <c r="AB20" s="29" t="s">
        <v>97</v>
      </c>
      <c r="AC20" s="29" t="s">
        <v>97</v>
      </c>
      <c r="AD20" s="29" t="s">
        <v>6</v>
      </c>
      <c r="AE20" s="40">
        <v>100000</v>
      </c>
      <c r="AF20" s="40">
        <v>100000</v>
      </c>
      <c r="AG20" s="29">
        <v>3</v>
      </c>
      <c r="AH20" s="29" t="s">
        <v>177</v>
      </c>
      <c r="AI20" s="29">
        <v>14000</v>
      </c>
      <c r="AJ20" s="29">
        <v>18600</v>
      </c>
      <c r="AK20" s="29">
        <v>22800</v>
      </c>
      <c r="AL20" s="30" t="s">
        <v>39</v>
      </c>
      <c r="AM20" s="30" t="s">
        <v>39</v>
      </c>
      <c r="AN20" s="29"/>
      <c r="AO20" s="42">
        <v>5000</v>
      </c>
      <c r="AP20" s="29"/>
      <c r="AQ20" s="42">
        <v>30</v>
      </c>
      <c r="AR20" s="29">
        <v>40</v>
      </c>
      <c r="AS20" s="29">
        <v>50</v>
      </c>
      <c r="AT20" s="29" t="s">
        <v>252</v>
      </c>
    </row>
    <row r="21" spans="1:46" ht="16.5">
      <c r="A21" s="29">
        <v>95</v>
      </c>
      <c r="B21" s="29">
        <v>95</v>
      </c>
      <c r="C21" s="29" t="s">
        <v>281</v>
      </c>
      <c r="D21" s="29" t="s">
        <v>281</v>
      </c>
      <c r="E21" s="44" t="s">
        <v>282</v>
      </c>
      <c r="F21" s="29" t="s">
        <v>283</v>
      </c>
      <c r="G21" s="29" t="s">
        <v>256</v>
      </c>
      <c r="H21" s="29"/>
      <c r="I21" s="44"/>
      <c r="J21" s="44" t="s">
        <v>225</v>
      </c>
      <c r="K21" s="44"/>
      <c r="L21" s="44" t="s">
        <v>171</v>
      </c>
      <c r="M21" s="39">
        <v>45767</v>
      </c>
      <c r="N21" s="39">
        <v>45767</v>
      </c>
      <c r="O21" s="29">
        <v>72</v>
      </c>
      <c r="P21" s="29">
        <v>72</v>
      </c>
      <c r="Q21" s="29" t="s">
        <v>208</v>
      </c>
      <c r="R21" s="44" t="s">
        <v>249</v>
      </c>
      <c r="S21" s="44" t="s">
        <v>249</v>
      </c>
      <c r="T21" s="29">
        <v>80</v>
      </c>
      <c r="U21" s="29" t="s">
        <v>174</v>
      </c>
      <c r="V21" s="29">
        <v>80</v>
      </c>
      <c r="W21" s="29" t="s">
        <v>174</v>
      </c>
      <c r="X21" s="29" t="s">
        <v>284</v>
      </c>
      <c r="Y21" s="29" t="s">
        <v>251</v>
      </c>
      <c r="Z21" s="29" t="s">
        <v>96</v>
      </c>
      <c r="AA21" s="29"/>
      <c r="AB21" s="29" t="s">
        <v>97</v>
      </c>
      <c r="AC21" s="29" t="s">
        <v>97</v>
      </c>
      <c r="AD21" s="29" t="s">
        <v>19</v>
      </c>
      <c r="AE21" s="40">
        <v>100000</v>
      </c>
      <c r="AF21" s="40">
        <v>100000</v>
      </c>
      <c r="AG21" s="29">
        <v>3</v>
      </c>
      <c r="AH21" s="29" t="s">
        <v>177</v>
      </c>
      <c r="AI21" s="29">
        <v>14000</v>
      </c>
      <c r="AJ21" s="29">
        <v>18600</v>
      </c>
      <c r="AK21" s="29">
        <v>22800</v>
      </c>
      <c r="AL21" s="30" t="s">
        <v>40</v>
      </c>
      <c r="AM21" s="30" t="s">
        <v>40</v>
      </c>
      <c r="AN21" s="29"/>
      <c r="AO21" s="42">
        <v>5000</v>
      </c>
      <c r="AP21" s="29"/>
      <c r="AQ21" s="42">
        <v>30</v>
      </c>
      <c r="AR21" s="29">
        <v>40</v>
      </c>
      <c r="AS21" s="29">
        <v>5.5</v>
      </c>
      <c r="AT21" s="29" t="s">
        <v>252</v>
      </c>
    </row>
    <row r="22" spans="1:46" ht="16.5">
      <c r="A22" s="29">
        <v>80</v>
      </c>
      <c r="B22" s="29">
        <v>80</v>
      </c>
      <c r="C22" s="29" t="s">
        <v>174</v>
      </c>
      <c r="D22" s="29" t="s">
        <v>174</v>
      </c>
      <c r="E22" s="44" t="s">
        <v>258</v>
      </c>
      <c r="F22" s="29" t="s">
        <v>285</v>
      </c>
      <c r="G22" s="29" t="s">
        <v>286</v>
      </c>
      <c r="H22" s="29"/>
      <c r="I22" s="44"/>
      <c r="J22" s="44" t="s">
        <v>232</v>
      </c>
      <c r="K22" s="44"/>
      <c r="L22" s="44" t="s">
        <v>171</v>
      </c>
      <c r="M22" s="39">
        <v>45767</v>
      </c>
      <c r="N22" s="39">
        <v>45767</v>
      </c>
      <c r="O22" s="29">
        <v>1113</v>
      </c>
      <c r="P22" s="29">
        <v>1113</v>
      </c>
      <c r="Q22" s="29" t="s">
        <v>208</v>
      </c>
      <c r="R22" s="44" t="s">
        <v>249</v>
      </c>
      <c r="S22" s="44" t="s">
        <v>249</v>
      </c>
      <c r="T22" s="29">
        <v>80</v>
      </c>
      <c r="U22" s="29" t="s">
        <v>174</v>
      </c>
      <c r="V22" s="29">
        <v>80</v>
      </c>
      <c r="W22" s="29" t="s">
        <v>174</v>
      </c>
      <c r="X22" s="29" t="s">
        <v>287</v>
      </c>
      <c r="Y22" s="29" t="s">
        <v>288</v>
      </c>
      <c r="Z22" s="29" t="s">
        <v>96</v>
      </c>
      <c r="AA22" s="29"/>
      <c r="AB22" s="29" t="s">
        <v>101</v>
      </c>
      <c r="AC22" s="29" t="s">
        <v>101</v>
      </c>
      <c r="AD22" s="29" t="s">
        <v>19</v>
      </c>
      <c r="AE22" s="40">
        <v>100000</v>
      </c>
      <c r="AF22" s="40">
        <v>100000</v>
      </c>
      <c r="AG22" s="29">
        <v>1</v>
      </c>
      <c r="AH22" s="29" t="s">
        <v>202</v>
      </c>
      <c r="AI22" s="29">
        <v>29400</v>
      </c>
      <c r="AJ22" s="29">
        <v>42000</v>
      </c>
      <c r="AK22" s="29">
        <v>54600</v>
      </c>
      <c r="AL22" s="30" t="s">
        <v>37</v>
      </c>
      <c r="AM22" s="30" t="s">
        <v>37</v>
      </c>
      <c r="AN22" s="29"/>
      <c r="AO22" s="42">
        <v>5000</v>
      </c>
      <c r="AP22" s="29"/>
      <c r="AQ22" s="42">
        <v>30</v>
      </c>
      <c r="AR22" s="29">
        <v>40</v>
      </c>
      <c r="AS22" s="29">
        <v>5.5</v>
      </c>
      <c r="AT22" s="29" t="s">
        <v>289</v>
      </c>
    </row>
    <row r="23" spans="1:46" ht="16.5">
      <c r="A23" s="29">
        <v>115</v>
      </c>
      <c r="B23" s="29">
        <v>115</v>
      </c>
      <c r="C23" s="29" t="s">
        <v>290</v>
      </c>
      <c r="D23" s="29" t="s">
        <v>290</v>
      </c>
      <c r="E23" s="44" t="s">
        <v>291</v>
      </c>
      <c r="F23" s="29" t="s">
        <v>292</v>
      </c>
      <c r="G23" s="29" t="s">
        <v>286</v>
      </c>
      <c r="H23" s="29"/>
      <c r="I23" s="44"/>
      <c r="J23" s="44" t="s">
        <v>238</v>
      </c>
      <c r="K23" s="44"/>
      <c r="L23" s="44" t="s">
        <v>171</v>
      </c>
      <c r="M23" s="39">
        <v>45767</v>
      </c>
      <c r="N23" s="39">
        <v>45767</v>
      </c>
      <c r="O23" s="29">
        <v>72</v>
      </c>
      <c r="P23" s="29">
        <v>72</v>
      </c>
      <c r="Q23" s="29" t="s">
        <v>183</v>
      </c>
      <c r="R23" s="44" t="s">
        <v>249</v>
      </c>
      <c r="S23" s="44" t="s">
        <v>249</v>
      </c>
      <c r="T23" s="29">
        <v>80</v>
      </c>
      <c r="U23" s="29" t="s">
        <v>174</v>
      </c>
      <c r="V23" s="29">
        <v>80</v>
      </c>
      <c r="W23" s="29" t="s">
        <v>174</v>
      </c>
      <c r="X23" s="29" t="s">
        <v>293</v>
      </c>
      <c r="Y23" s="29" t="s">
        <v>251</v>
      </c>
      <c r="Z23" s="29" t="s">
        <v>96</v>
      </c>
      <c r="AA23" s="29"/>
      <c r="AB23" s="29" t="s">
        <v>97</v>
      </c>
      <c r="AC23" s="29" t="s">
        <v>97</v>
      </c>
      <c r="AD23" s="29" t="s">
        <v>19</v>
      </c>
      <c r="AE23" s="40">
        <v>100000</v>
      </c>
      <c r="AF23" s="40">
        <v>100000</v>
      </c>
      <c r="AG23" s="29">
        <v>3</v>
      </c>
      <c r="AH23" s="29" t="s">
        <v>177</v>
      </c>
      <c r="AI23" s="29">
        <v>14000</v>
      </c>
      <c r="AJ23" s="29">
        <v>18600</v>
      </c>
      <c r="AK23" s="29">
        <v>22800</v>
      </c>
      <c r="AL23" s="30" t="s">
        <v>38</v>
      </c>
      <c r="AM23" s="30" t="s">
        <v>38</v>
      </c>
      <c r="AN23" s="29"/>
      <c r="AO23" s="42">
        <v>5000</v>
      </c>
      <c r="AP23" s="29"/>
      <c r="AQ23" s="42">
        <v>30</v>
      </c>
      <c r="AR23" s="29">
        <v>40</v>
      </c>
      <c r="AS23" s="29">
        <v>5.5</v>
      </c>
      <c r="AT23" s="29" t="s">
        <v>289</v>
      </c>
    </row>
    <row r="24" spans="1:46" ht="16.5">
      <c r="A24" s="29">
        <v>93</v>
      </c>
      <c r="B24" s="29">
        <v>93</v>
      </c>
      <c r="C24" s="29" t="s">
        <v>294</v>
      </c>
      <c r="D24" s="29" t="s">
        <v>294</v>
      </c>
      <c r="E24" s="44" t="s">
        <v>295</v>
      </c>
      <c r="F24" s="29" t="s">
        <v>296</v>
      </c>
      <c r="G24" s="29">
        <v>1</v>
      </c>
      <c r="H24" s="29"/>
      <c r="I24" s="44"/>
      <c r="J24" s="44" t="s">
        <v>170</v>
      </c>
      <c r="K24" s="44"/>
      <c r="L24" s="44" t="s">
        <v>171</v>
      </c>
      <c r="M24" s="39">
        <v>45767</v>
      </c>
      <c r="N24" s="39">
        <v>45767</v>
      </c>
      <c r="O24" s="29">
        <v>72</v>
      </c>
      <c r="P24" s="29">
        <v>72</v>
      </c>
      <c r="Q24" s="29" t="s">
        <v>248</v>
      </c>
      <c r="R24" s="44" t="s">
        <v>249</v>
      </c>
      <c r="S24" s="44" t="s">
        <v>249</v>
      </c>
      <c r="T24" s="29">
        <v>80</v>
      </c>
      <c r="U24" s="29" t="s">
        <v>174</v>
      </c>
      <c r="V24" s="29">
        <v>80</v>
      </c>
      <c r="W24" s="29" t="s">
        <v>174</v>
      </c>
      <c r="X24" s="29" t="s">
        <v>297</v>
      </c>
      <c r="Y24" s="29" t="s">
        <v>251</v>
      </c>
      <c r="Z24" s="29" t="s">
        <v>96</v>
      </c>
      <c r="AA24" s="29"/>
      <c r="AB24" s="29" t="s">
        <v>97</v>
      </c>
      <c r="AC24" s="29" t="s">
        <v>97</v>
      </c>
      <c r="AD24" s="29" t="s">
        <v>19</v>
      </c>
      <c r="AE24" s="40">
        <v>100000</v>
      </c>
      <c r="AF24" s="40">
        <v>100000</v>
      </c>
      <c r="AG24" s="29">
        <v>4</v>
      </c>
      <c r="AH24" s="29" t="s">
        <v>228</v>
      </c>
      <c r="AI24" s="29">
        <v>14000</v>
      </c>
      <c r="AJ24" s="29">
        <v>18600</v>
      </c>
      <c r="AK24" s="29">
        <v>22800</v>
      </c>
      <c r="AL24" s="30" t="s">
        <v>39</v>
      </c>
      <c r="AM24" s="30" t="s">
        <v>39</v>
      </c>
      <c r="AN24" s="29"/>
      <c r="AO24" s="42">
        <v>5000</v>
      </c>
      <c r="AP24" s="29"/>
      <c r="AQ24" s="42">
        <v>30</v>
      </c>
      <c r="AR24" s="29">
        <v>40</v>
      </c>
      <c r="AS24" s="29">
        <v>10</v>
      </c>
      <c r="AT24" s="29" t="s">
        <v>289</v>
      </c>
    </row>
    <row r="25" spans="1:46" ht="16.5">
      <c r="A25" s="29">
        <v>101</v>
      </c>
      <c r="B25" s="29">
        <v>101</v>
      </c>
      <c r="C25" s="29" t="s">
        <v>298</v>
      </c>
      <c r="D25" s="29" t="s">
        <v>298</v>
      </c>
      <c r="E25" s="44" t="s">
        <v>299</v>
      </c>
      <c r="F25" s="29" t="s">
        <v>300</v>
      </c>
      <c r="G25" s="29">
        <v>1</v>
      </c>
      <c r="H25" s="29"/>
      <c r="I25" s="44"/>
      <c r="J25" s="44" t="s">
        <v>182</v>
      </c>
      <c r="K25" s="44"/>
      <c r="L25" s="44" t="s">
        <v>171</v>
      </c>
      <c r="M25" s="39">
        <v>45767</v>
      </c>
      <c r="N25" s="39">
        <v>45767</v>
      </c>
      <c r="O25" s="29">
        <v>72</v>
      </c>
      <c r="P25" s="29">
        <v>72</v>
      </c>
      <c r="Q25" s="29" t="s">
        <v>183</v>
      </c>
      <c r="R25" s="44" t="s">
        <v>249</v>
      </c>
      <c r="S25" s="44" t="s">
        <v>249</v>
      </c>
      <c r="T25" s="29">
        <v>80</v>
      </c>
      <c r="U25" s="29" t="s">
        <v>174</v>
      </c>
      <c r="V25" s="29">
        <v>80</v>
      </c>
      <c r="W25" s="29" t="s">
        <v>174</v>
      </c>
      <c r="X25" s="29" t="s">
        <v>301</v>
      </c>
      <c r="Y25" s="29" t="s">
        <v>251</v>
      </c>
      <c r="Z25" s="29" t="s">
        <v>96</v>
      </c>
      <c r="AA25" s="29"/>
      <c r="AB25" s="29" t="s">
        <v>97</v>
      </c>
      <c r="AC25" s="29" t="s">
        <v>97</v>
      </c>
      <c r="AD25" s="29" t="s">
        <v>19</v>
      </c>
      <c r="AE25" s="40">
        <v>100000</v>
      </c>
      <c r="AF25" s="40">
        <v>100000</v>
      </c>
      <c r="AG25" s="29">
        <v>3</v>
      </c>
      <c r="AH25" s="29" t="s">
        <v>177</v>
      </c>
      <c r="AI25" s="29">
        <v>14000</v>
      </c>
      <c r="AJ25" s="29">
        <v>18600</v>
      </c>
      <c r="AK25" s="29">
        <v>22800</v>
      </c>
      <c r="AL25" s="30" t="s">
        <v>40</v>
      </c>
      <c r="AM25" s="30" t="s">
        <v>40</v>
      </c>
      <c r="AN25" s="29"/>
      <c r="AO25" s="42">
        <v>5000</v>
      </c>
      <c r="AP25" s="29"/>
      <c r="AQ25" s="42">
        <v>30</v>
      </c>
      <c r="AR25" s="29">
        <v>40</v>
      </c>
      <c r="AS25" s="29">
        <v>10</v>
      </c>
      <c r="AT25" s="29" t="s">
        <v>289</v>
      </c>
    </row>
    <row r="26" spans="1:46" ht="16.5">
      <c r="A26" s="29">
        <v>100</v>
      </c>
      <c r="B26" s="29">
        <v>100</v>
      </c>
      <c r="C26" s="29" t="s">
        <v>302</v>
      </c>
      <c r="D26" s="29" t="s">
        <v>302</v>
      </c>
      <c r="E26" s="44" t="s">
        <v>303</v>
      </c>
      <c r="F26" s="29" t="s">
        <v>304</v>
      </c>
      <c r="G26" s="29">
        <v>1</v>
      </c>
      <c r="H26" s="29"/>
      <c r="I26" s="44"/>
      <c r="J26" s="44" t="s">
        <v>188</v>
      </c>
      <c r="K26" s="44"/>
      <c r="L26" s="44" t="s">
        <v>171</v>
      </c>
      <c r="M26" s="39">
        <v>45767</v>
      </c>
      <c r="N26" s="39">
        <v>45767</v>
      </c>
      <c r="O26" s="29">
        <v>72</v>
      </c>
      <c r="P26" s="29">
        <v>72</v>
      </c>
      <c r="Q26" s="29" t="s">
        <v>208</v>
      </c>
      <c r="R26" s="44" t="s">
        <v>249</v>
      </c>
      <c r="S26" s="44" t="s">
        <v>249</v>
      </c>
      <c r="T26" s="29">
        <v>80</v>
      </c>
      <c r="U26" s="29" t="s">
        <v>174</v>
      </c>
      <c r="V26" s="29">
        <v>80</v>
      </c>
      <c r="W26" s="29" t="s">
        <v>174</v>
      </c>
      <c r="X26" s="29" t="s">
        <v>305</v>
      </c>
      <c r="Y26" s="29" t="s">
        <v>251</v>
      </c>
      <c r="Z26" s="29" t="s">
        <v>96</v>
      </c>
      <c r="AA26" s="29"/>
      <c r="AB26" s="29" t="s">
        <v>97</v>
      </c>
      <c r="AC26" s="29" t="s">
        <v>97</v>
      </c>
      <c r="AD26" s="29" t="s">
        <v>19</v>
      </c>
      <c r="AE26" s="40">
        <v>100000</v>
      </c>
      <c r="AF26" s="40">
        <v>100000</v>
      </c>
      <c r="AG26" s="29">
        <v>4</v>
      </c>
      <c r="AH26" s="29" t="s">
        <v>228</v>
      </c>
      <c r="AI26" s="29">
        <v>14000</v>
      </c>
      <c r="AJ26" s="29">
        <v>18600</v>
      </c>
      <c r="AK26" s="29">
        <v>22800</v>
      </c>
      <c r="AL26" s="30" t="s">
        <v>37</v>
      </c>
      <c r="AM26" s="30" t="s">
        <v>37</v>
      </c>
      <c r="AN26" s="29"/>
      <c r="AO26" s="42">
        <v>5000</v>
      </c>
      <c r="AP26" s="29"/>
      <c r="AQ26" s="42">
        <v>30</v>
      </c>
      <c r="AR26" s="29">
        <v>40</v>
      </c>
      <c r="AS26" s="29">
        <v>10</v>
      </c>
      <c r="AT26" s="29" t="s">
        <v>289</v>
      </c>
    </row>
    <row r="27" spans="1:46" ht="16.5">
      <c r="A27" s="29">
        <v>104</v>
      </c>
      <c r="B27" s="29">
        <v>104</v>
      </c>
      <c r="C27" s="29" t="s">
        <v>306</v>
      </c>
      <c r="D27" s="29" t="s">
        <v>306</v>
      </c>
      <c r="E27" s="44" t="s">
        <v>307</v>
      </c>
      <c r="F27" s="29" t="s">
        <v>308</v>
      </c>
      <c r="G27" s="29">
        <v>0</v>
      </c>
      <c r="H27" s="29"/>
      <c r="I27" s="44"/>
      <c r="J27" s="44" t="s">
        <v>194</v>
      </c>
      <c r="K27" s="44"/>
      <c r="L27" s="44" t="s">
        <v>171</v>
      </c>
      <c r="M27" s="39">
        <v>45767</v>
      </c>
      <c r="N27" s="39">
        <v>45767</v>
      </c>
      <c r="O27" s="29">
        <v>72</v>
      </c>
      <c r="P27" s="29">
        <v>72</v>
      </c>
      <c r="Q27" s="29" t="s">
        <v>183</v>
      </c>
      <c r="R27" s="44" t="s">
        <v>249</v>
      </c>
      <c r="S27" s="44" t="s">
        <v>249</v>
      </c>
      <c r="T27" s="29">
        <v>80</v>
      </c>
      <c r="U27" s="29" t="s">
        <v>174</v>
      </c>
      <c r="V27" s="29">
        <v>80</v>
      </c>
      <c r="W27" s="29" t="s">
        <v>174</v>
      </c>
      <c r="X27" s="29" t="s">
        <v>309</v>
      </c>
      <c r="Y27" s="29" t="s">
        <v>251</v>
      </c>
      <c r="Z27" s="29" t="s">
        <v>96</v>
      </c>
      <c r="AA27" s="29"/>
      <c r="AB27" s="29" t="s">
        <v>97</v>
      </c>
      <c r="AC27" s="29" t="s">
        <v>97</v>
      </c>
      <c r="AD27" s="29" t="s">
        <v>19</v>
      </c>
      <c r="AE27" s="40">
        <v>100000</v>
      </c>
      <c r="AF27" s="40">
        <v>100000</v>
      </c>
      <c r="AG27" s="29">
        <v>2</v>
      </c>
      <c r="AH27" s="29" t="s">
        <v>260</v>
      </c>
      <c r="AI27" s="29">
        <v>14000</v>
      </c>
      <c r="AJ27" s="29">
        <v>18600</v>
      </c>
      <c r="AK27" s="29">
        <v>22800</v>
      </c>
      <c r="AL27" s="30" t="s">
        <v>38</v>
      </c>
      <c r="AM27" s="30" t="s">
        <v>38</v>
      </c>
      <c r="AN27" s="29"/>
      <c r="AO27" s="42">
        <v>5000</v>
      </c>
      <c r="AP27" s="29"/>
      <c r="AQ27" s="42">
        <v>30</v>
      </c>
      <c r="AR27" s="29">
        <v>40</v>
      </c>
      <c r="AS27" s="29">
        <v>10</v>
      </c>
      <c r="AT27" s="29" t="s">
        <v>289</v>
      </c>
    </row>
    <row r="28" spans="1:46" ht="16.5">
      <c r="A28" s="29">
        <v>86</v>
      </c>
      <c r="B28" s="29">
        <v>86</v>
      </c>
      <c r="C28" s="29" t="s">
        <v>310</v>
      </c>
      <c r="D28" s="29" t="s">
        <v>310</v>
      </c>
      <c r="E28" s="44" t="s">
        <v>303</v>
      </c>
      <c r="F28" s="29" t="s">
        <v>311</v>
      </c>
      <c r="G28" s="29" t="s">
        <v>312</v>
      </c>
      <c r="H28" s="29"/>
      <c r="I28" s="44"/>
      <c r="J28" s="44" t="s">
        <v>200</v>
      </c>
      <c r="K28" s="44"/>
      <c r="L28" s="44" t="s">
        <v>171</v>
      </c>
      <c r="M28" s="39">
        <v>45767</v>
      </c>
      <c r="N28" s="39">
        <v>45767</v>
      </c>
      <c r="O28" s="29">
        <v>72</v>
      </c>
      <c r="P28" s="29">
        <v>72</v>
      </c>
      <c r="Q28" s="29" t="s">
        <v>183</v>
      </c>
      <c r="R28" s="44" t="s">
        <v>249</v>
      </c>
      <c r="S28" s="44" t="s">
        <v>249</v>
      </c>
      <c r="T28" s="29">
        <v>80</v>
      </c>
      <c r="U28" s="29" t="s">
        <v>174</v>
      </c>
      <c r="V28" s="29">
        <v>80</v>
      </c>
      <c r="W28" s="29" t="s">
        <v>174</v>
      </c>
      <c r="X28" s="29" t="s">
        <v>313</v>
      </c>
      <c r="Y28" s="29" t="s">
        <v>314</v>
      </c>
      <c r="Z28" s="29" t="s">
        <v>96</v>
      </c>
      <c r="AA28" s="29"/>
      <c r="AB28" s="29" t="s">
        <v>103</v>
      </c>
      <c r="AC28" s="29" t="s">
        <v>103</v>
      </c>
      <c r="AD28" s="29" t="s">
        <v>19</v>
      </c>
      <c r="AE28" s="40">
        <v>100000</v>
      </c>
      <c r="AF28" s="40">
        <v>100000</v>
      </c>
      <c r="AG28" s="29">
        <v>5</v>
      </c>
      <c r="AH28" s="29" t="s">
        <v>177</v>
      </c>
      <c r="AI28" s="29">
        <v>42700</v>
      </c>
      <c r="AJ28" s="29">
        <v>61000</v>
      </c>
      <c r="AK28" s="29">
        <v>79300</v>
      </c>
      <c r="AL28" s="30" t="s">
        <v>39</v>
      </c>
      <c r="AM28" s="30" t="s">
        <v>39</v>
      </c>
      <c r="AN28" s="29"/>
      <c r="AO28" s="42">
        <v>5000</v>
      </c>
      <c r="AP28" s="29"/>
      <c r="AQ28" s="42">
        <v>30</v>
      </c>
      <c r="AR28" s="29">
        <v>40</v>
      </c>
      <c r="AS28" s="29">
        <v>10</v>
      </c>
      <c r="AT28" s="29" t="s">
        <v>289</v>
      </c>
    </row>
    <row r="29" spans="1:46" ht="16.5">
      <c r="A29" s="29">
        <v>89</v>
      </c>
      <c r="B29" s="29">
        <v>89</v>
      </c>
      <c r="C29" s="29" t="s">
        <v>315</v>
      </c>
      <c r="D29" s="29" t="s">
        <v>315</v>
      </c>
      <c r="E29" s="44" t="s">
        <v>303</v>
      </c>
      <c r="F29" s="29" t="s">
        <v>316</v>
      </c>
      <c r="G29" s="29" t="s">
        <v>312</v>
      </c>
      <c r="H29" s="29"/>
      <c r="I29" s="44"/>
      <c r="J29" s="44" t="s">
        <v>207</v>
      </c>
      <c r="K29" s="44"/>
      <c r="L29" s="44" t="s">
        <v>171</v>
      </c>
      <c r="M29" s="39">
        <v>45767</v>
      </c>
      <c r="N29" s="39">
        <v>45767</v>
      </c>
      <c r="O29" s="29">
        <v>72</v>
      </c>
      <c r="P29" s="29">
        <v>72</v>
      </c>
      <c r="Q29" s="29" t="s">
        <v>195</v>
      </c>
      <c r="R29" s="44" t="s">
        <v>249</v>
      </c>
      <c r="S29" s="44" t="s">
        <v>249</v>
      </c>
      <c r="T29" s="29">
        <v>80</v>
      </c>
      <c r="U29" s="29" t="s">
        <v>174</v>
      </c>
      <c r="V29" s="29">
        <v>80</v>
      </c>
      <c r="W29" s="29" t="s">
        <v>174</v>
      </c>
      <c r="X29" s="29" t="s">
        <v>317</v>
      </c>
      <c r="Y29" s="29" t="s">
        <v>192</v>
      </c>
      <c r="Z29" s="29" t="s">
        <v>96</v>
      </c>
      <c r="AA29" s="29"/>
      <c r="AB29" s="29" t="s">
        <v>100</v>
      </c>
      <c r="AC29" s="29" t="s">
        <v>100</v>
      </c>
      <c r="AD29" s="29" t="s">
        <v>19</v>
      </c>
      <c r="AE29" s="40">
        <v>100000</v>
      </c>
      <c r="AF29" s="40">
        <v>100000</v>
      </c>
      <c r="AG29" s="29">
        <v>4</v>
      </c>
      <c r="AH29" s="29" t="s">
        <v>228</v>
      </c>
      <c r="AI29" s="29">
        <v>23700</v>
      </c>
      <c r="AJ29" s="29">
        <v>31500</v>
      </c>
      <c r="AK29" s="29">
        <v>39400</v>
      </c>
      <c r="AL29" s="30" t="s">
        <v>40</v>
      </c>
      <c r="AM29" s="30" t="s">
        <v>40</v>
      </c>
      <c r="AN29" s="29"/>
      <c r="AO29" s="42">
        <v>5000</v>
      </c>
      <c r="AP29" s="29"/>
      <c r="AQ29" s="42">
        <v>30</v>
      </c>
      <c r="AR29" s="29">
        <v>40</v>
      </c>
      <c r="AS29" s="29">
        <v>10</v>
      </c>
      <c r="AT29" s="29" t="s">
        <v>318</v>
      </c>
    </row>
    <row r="30" spans="1:46" ht="33">
      <c r="A30" s="29">
        <v>72</v>
      </c>
      <c r="B30" s="29">
        <v>72</v>
      </c>
      <c r="C30" s="29" t="s">
        <v>319</v>
      </c>
      <c r="D30" s="29" t="s">
        <v>319</v>
      </c>
      <c r="E30" s="44" t="s">
        <v>320</v>
      </c>
      <c r="F30" s="29" t="s">
        <v>321</v>
      </c>
      <c r="G30" s="29" t="s">
        <v>65</v>
      </c>
      <c r="H30" s="29"/>
      <c r="I30" s="44"/>
      <c r="J30" s="44" t="s">
        <v>214</v>
      </c>
      <c r="K30" s="44"/>
      <c r="L30" s="44" t="s">
        <v>171</v>
      </c>
      <c r="M30" s="39">
        <v>45767</v>
      </c>
      <c r="N30" s="39">
        <v>45767</v>
      </c>
      <c r="O30" s="29">
        <v>1012</v>
      </c>
      <c r="P30" s="29">
        <v>1012</v>
      </c>
      <c r="Q30" s="29" t="s">
        <v>172</v>
      </c>
      <c r="R30" s="44" t="s">
        <v>322</v>
      </c>
      <c r="S30" s="44" t="s">
        <v>322</v>
      </c>
      <c r="T30" s="29">
        <v>80</v>
      </c>
      <c r="U30" s="29" t="s">
        <v>174</v>
      </c>
      <c r="V30" s="29">
        <v>80</v>
      </c>
      <c r="W30" s="29" t="s">
        <v>174</v>
      </c>
      <c r="X30" s="29" t="s">
        <v>323</v>
      </c>
      <c r="Y30" s="29" t="s">
        <v>303</v>
      </c>
      <c r="Z30" s="29" t="s">
        <v>96</v>
      </c>
      <c r="AA30" s="29"/>
      <c r="AB30" s="29" t="s">
        <v>111</v>
      </c>
      <c r="AC30" s="29" t="s">
        <v>111</v>
      </c>
      <c r="AD30" s="29" t="s">
        <v>22</v>
      </c>
      <c r="AE30" s="40">
        <v>100000</v>
      </c>
      <c r="AF30" s="40">
        <v>100000</v>
      </c>
      <c r="AG30" s="29">
        <v>3</v>
      </c>
      <c r="AH30" s="29" t="s">
        <v>177</v>
      </c>
      <c r="AI30" s="29">
        <v>112800</v>
      </c>
      <c r="AJ30" s="29">
        <v>188000</v>
      </c>
      <c r="AK30" s="29">
        <v>263200</v>
      </c>
      <c r="AL30" s="30" t="s">
        <v>37</v>
      </c>
      <c r="AM30" s="30" t="s">
        <v>37</v>
      </c>
      <c r="AN30" s="29"/>
      <c r="AO30" s="42">
        <v>5000</v>
      </c>
      <c r="AP30" s="29"/>
      <c r="AQ30" s="42">
        <v>30</v>
      </c>
      <c r="AR30" s="29">
        <v>40</v>
      </c>
      <c r="AS30" s="29">
        <v>10</v>
      </c>
      <c r="AT30" s="29" t="s">
        <v>318</v>
      </c>
    </row>
    <row r="31" spans="1:46" ht="16.5">
      <c r="A31" s="29">
        <v>162</v>
      </c>
      <c r="B31" s="29">
        <v>162</v>
      </c>
      <c r="C31" s="29" t="s">
        <v>324</v>
      </c>
      <c r="D31" s="29" t="s">
        <v>324</v>
      </c>
      <c r="E31" s="44" t="s">
        <v>168</v>
      </c>
      <c r="F31" s="29" t="s">
        <v>169</v>
      </c>
      <c r="G31" s="29" t="s">
        <v>65</v>
      </c>
      <c r="H31" s="29"/>
      <c r="I31" s="44"/>
      <c r="J31" s="44" t="s">
        <v>220</v>
      </c>
      <c r="K31" s="44"/>
      <c r="L31" s="44" t="s">
        <v>171</v>
      </c>
      <c r="M31" s="39">
        <v>45767</v>
      </c>
      <c r="N31" s="39">
        <v>45767</v>
      </c>
      <c r="O31" s="29" t="s">
        <v>325</v>
      </c>
      <c r="P31" s="29" t="s">
        <v>325</v>
      </c>
      <c r="Q31" s="29" t="s">
        <v>208</v>
      </c>
      <c r="R31" s="44" t="s">
        <v>325</v>
      </c>
      <c r="S31" s="44" t="s">
        <v>325</v>
      </c>
      <c r="T31" s="29">
        <v>80</v>
      </c>
      <c r="U31" s="29" t="s">
        <v>174</v>
      </c>
      <c r="V31" s="29">
        <v>80</v>
      </c>
      <c r="W31" s="29" t="s">
        <v>174</v>
      </c>
      <c r="X31" s="29" t="s">
        <v>175</v>
      </c>
      <c r="Y31" s="29" t="s">
        <v>326</v>
      </c>
      <c r="Z31" s="29" t="s">
        <v>96</v>
      </c>
      <c r="AA31" s="29"/>
      <c r="AB31" s="29" t="s">
        <v>114</v>
      </c>
      <c r="AC31" s="29" t="s">
        <v>114</v>
      </c>
      <c r="AD31" s="29" t="s">
        <v>22</v>
      </c>
      <c r="AE31" s="40">
        <v>100000</v>
      </c>
      <c r="AF31" s="40">
        <v>100000</v>
      </c>
      <c r="AG31" s="29">
        <v>3</v>
      </c>
      <c r="AH31" s="29" t="s">
        <v>177</v>
      </c>
      <c r="AI31" s="29">
        <v>192000</v>
      </c>
      <c r="AJ31" s="29">
        <v>320000</v>
      </c>
      <c r="AK31" s="29">
        <v>448000</v>
      </c>
      <c r="AL31" s="30" t="s">
        <v>38</v>
      </c>
      <c r="AM31" s="30" t="s">
        <v>38</v>
      </c>
      <c r="AN31" s="29"/>
      <c r="AO31" s="42">
        <v>5000</v>
      </c>
      <c r="AP31" s="29"/>
      <c r="AQ31" s="42">
        <v>30</v>
      </c>
      <c r="AR31" s="29">
        <v>40</v>
      </c>
      <c r="AS31" s="29">
        <v>10</v>
      </c>
      <c r="AT31" s="29" t="s">
        <v>318</v>
      </c>
    </row>
    <row r="32" spans="1:46" ht="16.5">
      <c r="A32" s="29">
        <v>1121</v>
      </c>
      <c r="B32" s="29">
        <v>1121</v>
      </c>
      <c r="C32" s="29" t="s">
        <v>327</v>
      </c>
      <c r="D32" s="29" t="s">
        <v>327</v>
      </c>
      <c r="E32" s="44" t="s">
        <v>180</v>
      </c>
      <c r="F32" s="29" t="s">
        <v>181</v>
      </c>
      <c r="G32" s="29" t="s">
        <v>65</v>
      </c>
      <c r="H32" s="29"/>
      <c r="I32" s="44"/>
      <c r="J32" s="44" t="s">
        <v>225</v>
      </c>
      <c r="K32" s="44"/>
      <c r="L32" s="44" t="s">
        <v>171</v>
      </c>
      <c r="M32" s="39">
        <v>45767</v>
      </c>
      <c r="N32" s="39">
        <v>45767</v>
      </c>
      <c r="O32" s="29">
        <v>1113</v>
      </c>
      <c r="P32" s="29">
        <v>1113</v>
      </c>
      <c r="Q32" s="29" t="s">
        <v>208</v>
      </c>
      <c r="R32" s="44" t="s">
        <v>328</v>
      </c>
      <c r="S32" s="44" t="s">
        <v>328</v>
      </c>
      <c r="T32" s="29">
        <v>80</v>
      </c>
      <c r="U32" s="29" t="s">
        <v>174</v>
      </c>
      <c r="V32" s="29">
        <v>80</v>
      </c>
      <c r="W32" s="29" t="s">
        <v>174</v>
      </c>
      <c r="X32" s="29" t="s">
        <v>184</v>
      </c>
      <c r="Y32" s="29" t="s">
        <v>314</v>
      </c>
      <c r="Z32" s="29" t="s">
        <v>96</v>
      </c>
      <c r="AA32" s="29"/>
      <c r="AB32" s="29" t="s">
        <v>103</v>
      </c>
      <c r="AC32" s="29" t="s">
        <v>103</v>
      </c>
      <c r="AD32" s="29" t="s">
        <v>22</v>
      </c>
      <c r="AE32" s="40">
        <v>100000</v>
      </c>
      <c r="AF32" s="40">
        <v>100000</v>
      </c>
      <c r="AG32" s="29">
        <v>5</v>
      </c>
      <c r="AH32" s="29" t="s">
        <v>234</v>
      </c>
      <c r="AI32" s="29">
        <v>42700</v>
      </c>
      <c r="AJ32" s="29">
        <v>61000</v>
      </c>
      <c r="AK32" s="29">
        <v>79300</v>
      </c>
      <c r="AL32" s="30" t="s">
        <v>39</v>
      </c>
      <c r="AM32" s="30" t="s">
        <v>39</v>
      </c>
      <c r="AN32" s="29"/>
      <c r="AO32" s="42">
        <v>5000</v>
      </c>
      <c r="AP32" s="29"/>
      <c r="AQ32" s="42">
        <v>30</v>
      </c>
      <c r="AR32" s="29">
        <v>40</v>
      </c>
      <c r="AS32" s="29">
        <v>10</v>
      </c>
      <c r="AT32" s="29" t="s">
        <v>318</v>
      </c>
    </row>
    <row r="33" spans="1:46" ht="16.5">
      <c r="A33" s="29">
        <v>1117</v>
      </c>
      <c r="B33" s="29">
        <v>1117</v>
      </c>
      <c r="C33" s="29" t="s">
        <v>329</v>
      </c>
      <c r="D33" s="29" t="s">
        <v>329</v>
      </c>
      <c r="E33" s="44" t="s">
        <v>186</v>
      </c>
      <c r="F33" s="29" t="s">
        <v>187</v>
      </c>
      <c r="G33" s="29" t="s">
        <v>330</v>
      </c>
      <c r="H33" s="29"/>
      <c r="I33" s="44"/>
      <c r="J33" s="44" t="s">
        <v>232</v>
      </c>
      <c r="K33" s="44"/>
      <c r="L33" s="44" t="s">
        <v>171</v>
      </c>
      <c r="M33" s="39">
        <v>45767</v>
      </c>
      <c r="N33" s="39">
        <v>45767</v>
      </c>
      <c r="O33" s="29">
        <v>1113</v>
      </c>
      <c r="P33" s="29">
        <v>1113</v>
      </c>
      <c r="Q33" s="29" t="s">
        <v>183</v>
      </c>
      <c r="R33" s="44" t="s">
        <v>328</v>
      </c>
      <c r="S33" s="44" t="s">
        <v>328</v>
      </c>
      <c r="T33" s="29">
        <v>80</v>
      </c>
      <c r="U33" s="29" t="s">
        <v>174</v>
      </c>
      <c r="V33" s="29">
        <v>80</v>
      </c>
      <c r="W33" s="29" t="s">
        <v>174</v>
      </c>
      <c r="X33" s="29" t="s">
        <v>190</v>
      </c>
      <c r="Y33" s="29" t="s">
        <v>218</v>
      </c>
      <c r="Z33" s="29" t="s">
        <v>96</v>
      </c>
      <c r="AA33" s="29"/>
      <c r="AB33" s="29" t="s">
        <v>101</v>
      </c>
      <c r="AC33" s="29" t="s">
        <v>101</v>
      </c>
      <c r="AD33" s="29" t="s">
        <v>22</v>
      </c>
      <c r="AE33" s="40">
        <v>100000</v>
      </c>
      <c r="AF33" s="40">
        <v>100000</v>
      </c>
      <c r="AG33" s="29">
        <v>5</v>
      </c>
      <c r="AH33" s="29" t="s">
        <v>234</v>
      </c>
      <c r="AI33" s="29">
        <v>29400</v>
      </c>
      <c r="AJ33" s="29">
        <v>42000</v>
      </c>
      <c r="AK33" s="29">
        <v>54600</v>
      </c>
      <c r="AL33" s="30" t="s">
        <v>40</v>
      </c>
      <c r="AM33" s="30" t="s">
        <v>40</v>
      </c>
      <c r="AN33" s="29"/>
      <c r="AO33" s="42">
        <v>5000</v>
      </c>
      <c r="AP33" s="29"/>
      <c r="AQ33" s="42">
        <v>30</v>
      </c>
      <c r="AR33" s="29">
        <v>40</v>
      </c>
      <c r="AS33" s="29">
        <v>10</v>
      </c>
      <c r="AT33" s="29" t="s">
        <v>318</v>
      </c>
    </row>
    <row r="34" spans="1:46" ht="16.5">
      <c r="A34" s="29">
        <v>1115</v>
      </c>
      <c r="B34" s="29">
        <v>1115</v>
      </c>
      <c r="C34" s="29" t="s">
        <v>331</v>
      </c>
      <c r="D34" s="29" t="s">
        <v>331</v>
      </c>
      <c r="E34" s="44" t="s">
        <v>192</v>
      </c>
      <c r="F34" s="29" t="s">
        <v>193</v>
      </c>
      <c r="G34" s="29" t="s">
        <v>330</v>
      </c>
      <c r="H34" s="29"/>
      <c r="I34" s="44"/>
      <c r="J34" s="44" t="s">
        <v>238</v>
      </c>
      <c r="K34" s="44"/>
      <c r="L34" s="44" t="s">
        <v>171</v>
      </c>
      <c r="M34" s="39">
        <v>45767</v>
      </c>
      <c r="N34" s="39">
        <v>45767</v>
      </c>
      <c r="O34" s="29">
        <v>1113</v>
      </c>
      <c r="P34" s="29">
        <v>1113</v>
      </c>
      <c r="Q34" s="29" t="s">
        <v>183</v>
      </c>
      <c r="R34" s="44" t="s">
        <v>328</v>
      </c>
      <c r="S34" s="44" t="s">
        <v>328</v>
      </c>
      <c r="T34" s="29">
        <v>80</v>
      </c>
      <c r="U34" s="29" t="s">
        <v>174</v>
      </c>
      <c r="V34" s="29">
        <v>80</v>
      </c>
      <c r="W34" s="29" t="s">
        <v>174</v>
      </c>
      <c r="X34" s="29" t="s">
        <v>196</v>
      </c>
      <c r="Y34" s="29" t="s">
        <v>258</v>
      </c>
      <c r="Z34" s="29" t="s">
        <v>96</v>
      </c>
      <c r="AA34" s="29"/>
      <c r="AB34" s="29" t="s">
        <v>109</v>
      </c>
      <c r="AC34" s="29" t="s">
        <v>109</v>
      </c>
      <c r="AD34" s="29" t="s">
        <v>6</v>
      </c>
      <c r="AE34" s="40">
        <v>100000</v>
      </c>
      <c r="AF34" s="40">
        <v>100000</v>
      </c>
      <c r="AG34" s="29">
        <v>4</v>
      </c>
      <c r="AH34" s="29" t="s">
        <v>228</v>
      </c>
      <c r="AI34" s="29">
        <v>81000</v>
      </c>
      <c r="AJ34" s="29">
        <v>135000</v>
      </c>
      <c r="AK34" s="29">
        <v>189000</v>
      </c>
      <c r="AL34" s="30" t="s">
        <v>37</v>
      </c>
      <c r="AM34" s="30" t="s">
        <v>37</v>
      </c>
      <c r="AN34" s="29"/>
      <c r="AO34" s="42">
        <v>5000</v>
      </c>
      <c r="AP34" s="29"/>
      <c r="AQ34" s="42">
        <v>30</v>
      </c>
      <c r="AR34" s="29">
        <v>40</v>
      </c>
      <c r="AS34" s="29">
        <v>10</v>
      </c>
      <c r="AT34" s="29" t="s">
        <v>318</v>
      </c>
    </row>
    <row r="35" spans="1:46" ht="33">
      <c r="A35" s="29">
        <v>1128</v>
      </c>
      <c r="B35" s="29">
        <v>1128</v>
      </c>
      <c r="C35" s="29" t="s">
        <v>332</v>
      </c>
      <c r="D35" s="29" t="s">
        <v>332</v>
      </c>
      <c r="E35" s="44" t="s">
        <v>198</v>
      </c>
      <c r="F35" s="29" t="s">
        <v>199</v>
      </c>
      <c r="G35" s="29" t="s">
        <v>330</v>
      </c>
      <c r="H35" s="29"/>
      <c r="I35" s="44"/>
      <c r="J35" s="44" t="s">
        <v>170</v>
      </c>
      <c r="K35" s="44"/>
      <c r="L35" s="44" t="s">
        <v>171</v>
      </c>
      <c r="M35" s="39">
        <v>45767</v>
      </c>
      <c r="N35" s="39">
        <v>45767</v>
      </c>
      <c r="O35" s="29">
        <v>1121</v>
      </c>
      <c r="P35" s="29">
        <v>1121</v>
      </c>
      <c r="Q35" s="29" t="s">
        <v>208</v>
      </c>
      <c r="R35" s="44" t="s">
        <v>333</v>
      </c>
      <c r="S35" s="44" t="s">
        <v>333</v>
      </c>
      <c r="T35" s="29">
        <v>80</v>
      </c>
      <c r="U35" s="29" t="s">
        <v>174</v>
      </c>
      <c r="V35" s="29">
        <v>80</v>
      </c>
      <c r="W35" s="29" t="s">
        <v>174</v>
      </c>
      <c r="X35" s="29" t="s">
        <v>201</v>
      </c>
      <c r="Y35" s="29" t="s">
        <v>251</v>
      </c>
      <c r="Z35" s="29" t="s">
        <v>96</v>
      </c>
      <c r="AA35" s="29"/>
      <c r="AB35" s="29" t="s">
        <v>97</v>
      </c>
      <c r="AC35" s="29" t="s">
        <v>97</v>
      </c>
      <c r="AD35" s="29" t="s">
        <v>22</v>
      </c>
      <c r="AE35" s="40">
        <v>100000</v>
      </c>
      <c r="AF35" s="40">
        <v>100000</v>
      </c>
      <c r="AG35" s="29">
        <v>3</v>
      </c>
      <c r="AH35" s="29" t="s">
        <v>177</v>
      </c>
      <c r="AI35" s="29">
        <v>14000</v>
      </c>
      <c r="AJ35" s="29">
        <v>18600</v>
      </c>
      <c r="AK35" s="29">
        <v>22800</v>
      </c>
      <c r="AL35" s="30" t="s">
        <v>38</v>
      </c>
      <c r="AM35" s="30" t="s">
        <v>38</v>
      </c>
      <c r="AN35" s="29"/>
      <c r="AO35" s="42">
        <v>5000</v>
      </c>
      <c r="AP35" s="29"/>
      <c r="AQ35" s="42">
        <v>30</v>
      </c>
      <c r="AR35" s="29">
        <v>40</v>
      </c>
      <c r="AS35" s="29">
        <v>10</v>
      </c>
      <c r="AT35" s="29" t="s">
        <v>318</v>
      </c>
    </row>
    <row r="36" spans="1:46" ht="33">
      <c r="A36" s="29">
        <v>1123</v>
      </c>
      <c r="B36" s="29">
        <v>1123</v>
      </c>
      <c r="C36" s="29" t="s">
        <v>334</v>
      </c>
      <c r="D36" s="29" t="s">
        <v>334</v>
      </c>
      <c r="E36" s="44" t="s">
        <v>204</v>
      </c>
      <c r="F36" s="29" t="s">
        <v>205</v>
      </c>
      <c r="G36" s="29" t="s">
        <v>335</v>
      </c>
      <c r="H36" s="29"/>
      <c r="I36" s="44"/>
      <c r="J36" s="44" t="s">
        <v>182</v>
      </c>
      <c r="K36" s="44"/>
      <c r="L36" s="44" t="s">
        <v>171</v>
      </c>
      <c r="M36" s="39">
        <v>45767</v>
      </c>
      <c r="N36" s="39">
        <v>45767</v>
      </c>
      <c r="O36" s="29">
        <v>1121</v>
      </c>
      <c r="P36" s="29">
        <v>1121</v>
      </c>
      <c r="Q36" s="29" t="s">
        <v>183</v>
      </c>
      <c r="R36" s="44" t="s">
        <v>333</v>
      </c>
      <c r="S36" s="44" t="s">
        <v>333</v>
      </c>
      <c r="T36" s="29">
        <v>80</v>
      </c>
      <c r="U36" s="29" t="s">
        <v>174</v>
      </c>
      <c r="V36" s="29">
        <v>80</v>
      </c>
      <c r="W36" s="29" t="s">
        <v>174</v>
      </c>
      <c r="X36" s="29" t="s">
        <v>209</v>
      </c>
      <c r="Y36" s="29" t="s">
        <v>186</v>
      </c>
      <c r="Z36" s="29" t="s">
        <v>96</v>
      </c>
      <c r="AA36" s="29"/>
      <c r="AB36" s="29" t="s">
        <v>99</v>
      </c>
      <c r="AC36" s="29" t="s">
        <v>99</v>
      </c>
      <c r="AD36" s="29" t="s">
        <v>22</v>
      </c>
      <c r="AE36" s="40">
        <v>100000</v>
      </c>
      <c r="AF36" s="40">
        <v>100000</v>
      </c>
      <c r="AG36" s="29">
        <v>2</v>
      </c>
      <c r="AH36" s="29" t="s">
        <v>260</v>
      </c>
      <c r="AI36" s="29">
        <v>8000</v>
      </c>
      <c r="AJ36" s="29">
        <v>12000</v>
      </c>
      <c r="AK36" s="29">
        <v>12000</v>
      </c>
      <c r="AL36" s="30" t="s">
        <v>39</v>
      </c>
      <c r="AM36" s="30" t="s">
        <v>39</v>
      </c>
      <c r="AN36" s="29"/>
      <c r="AO36" s="42">
        <v>5000</v>
      </c>
      <c r="AP36" s="29"/>
      <c r="AQ36" s="42">
        <v>30</v>
      </c>
      <c r="AR36" s="29">
        <v>40</v>
      </c>
      <c r="AS36" s="29">
        <v>10</v>
      </c>
      <c r="AT36" s="29" t="s">
        <v>318</v>
      </c>
    </row>
    <row r="37" spans="1:46" ht="33">
      <c r="A37" s="29">
        <v>70</v>
      </c>
      <c r="B37" s="29">
        <v>70</v>
      </c>
      <c r="C37" s="29" t="s">
        <v>336</v>
      </c>
      <c r="D37" s="29" t="s">
        <v>336</v>
      </c>
      <c r="E37" s="44" t="s">
        <v>211</v>
      </c>
      <c r="F37" s="29" t="s">
        <v>212</v>
      </c>
      <c r="G37" s="29" t="s">
        <v>335</v>
      </c>
      <c r="H37" s="29"/>
      <c r="I37" s="44"/>
      <c r="J37" s="44" t="s">
        <v>188</v>
      </c>
      <c r="K37" s="44"/>
      <c r="L37" s="44" t="s">
        <v>171</v>
      </c>
      <c r="M37" s="39">
        <v>45767</v>
      </c>
      <c r="N37" s="39">
        <v>45767</v>
      </c>
      <c r="O37" s="29">
        <v>1121</v>
      </c>
      <c r="P37" s="29">
        <v>1121</v>
      </c>
      <c r="Q37" s="29" t="s">
        <v>183</v>
      </c>
      <c r="R37" s="44" t="s">
        <v>333</v>
      </c>
      <c r="S37" s="44" t="s">
        <v>333</v>
      </c>
      <c r="T37" s="29">
        <v>1117</v>
      </c>
      <c r="U37" s="29" t="s">
        <v>329</v>
      </c>
      <c r="V37" s="29">
        <v>80</v>
      </c>
      <c r="W37" s="29" t="s">
        <v>174</v>
      </c>
      <c r="X37" s="29" t="s">
        <v>215</v>
      </c>
      <c r="Y37" s="29" t="s">
        <v>251</v>
      </c>
      <c r="Z37" s="29" t="s">
        <v>96</v>
      </c>
      <c r="AA37" s="29"/>
      <c r="AB37" s="29" t="s">
        <v>97</v>
      </c>
      <c r="AC37" s="29" t="s">
        <v>97</v>
      </c>
      <c r="AD37" s="29" t="s">
        <v>22</v>
      </c>
      <c r="AE37" s="40">
        <v>100000</v>
      </c>
      <c r="AF37" s="40">
        <v>100000</v>
      </c>
      <c r="AG37" s="29">
        <v>3</v>
      </c>
      <c r="AH37" s="29" t="s">
        <v>177</v>
      </c>
      <c r="AI37" s="29">
        <v>14000</v>
      </c>
      <c r="AJ37" s="29">
        <v>18600</v>
      </c>
      <c r="AK37" s="29">
        <v>22800</v>
      </c>
      <c r="AL37" s="30" t="s">
        <v>40</v>
      </c>
      <c r="AM37" s="30" t="s">
        <v>40</v>
      </c>
      <c r="AN37" s="29"/>
      <c r="AO37" s="42">
        <v>5000</v>
      </c>
      <c r="AP37" s="29"/>
      <c r="AQ37" s="42">
        <v>30</v>
      </c>
      <c r="AR37" s="29">
        <v>40</v>
      </c>
      <c r="AS37" s="29">
        <v>10</v>
      </c>
      <c r="AT37" s="29" t="s">
        <v>318</v>
      </c>
    </row>
    <row r="38" spans="1:46" ht="33">
      <c r="A38" s="29">
        <v>1119</v>
      </c>
      <c r="B38" s="29">
        <v>1119</v>
      </c>
      <c r="C38" s="29" t="s">
        <v>337</v>
      </c>
      <c r="D38" s="29" t="s">
        <v>337</v>
      </c>
      <c r="E38" s="44" t="s">
        <v>218</v>
      </c>
      <c r="F38" s="29" t="s">
        <v>219</v>
      </c>
      <c r="G38" s="29" t="s">
        <v>335</v>
      </c>
      <c r="H38" s="29"/>
      <c r="I38" s="44"/>
      <c r="J38" s="44" t="s">
        <v>194</v>
      </c>
      <c r="K38" s="44"/>
      <c r="L38" s="44" t="s">
        <v>171</v>
      </c>
      <c r="M38" s="39">
        <v>45767</v>
      </c>
      <c r="N38" s="39">
        <v>45767</v>
      </c>
      <c r="O38" s="29">
        <v>1121</v>
      </c>
      <c r="P38" s="29">
        <v>1121</v>
      </c>
      <c r="Q38" s="29" t="s">
        <v>195</v>
      </c>
      <c r="R38" s="44" t="s">
        <v>333</v>
      </c>
      <c r="S38" s="44" t="s">
        <v>333</v>
      </c>
      <c r="T38" s="29">
        <v>1117</v>
      </c>
      <c r="U38" s="29" t="s">
        <v>329</v>
      </c>
      <c r="V38" s="29">
        <v>80</v>
      </c>
      <c r="W38" s="29" t="s">
        <v>174</v>
      </c>
      <c r="X38" s="29" t="s">
        <v>221</v>
      </c>
      <c r="Y38" s="29" t="s">
        <v>192</v>
      </c>
      <c r="Z38" s="29" t="s">
        <v>96</v>
      </c>
      <c r="AA38" s="29"/>
      <c r="AB38" s="29" t="s">
        <v>100</v>
      </c>
      <c r="AC38" s="29" t="s">
        <v>100</v>
      </c>
      <c r="AD38" s="29" t="s">
        <v>25</v>
      </c>
      <c r="AE38" s="40">
        <v>100000</v>
      </c>
      <c r="AF38" s="40">
        <v>100000</v>
      </c>
      <c r="AG38" s="29">
        <v>3</v>
      </c>
      <c r="AH38" s="29" t="s">
        <v>177</v>
      </c>
      <c r="AI38" s="29">
        <v>23700</v>
      </c>
      <c r="AJ38" s="29">
        <v>31500</v>
      </c>
      <c r="AK38" s="29">
        <v>39400</v>
      </c>
      <c r="AL38" s="30" t="s">
        <v>37</v>
      </c>
      <c r="AM38" s="30" t="s">
        <v>37</v>
      </c>
      <c r="AN38" s="29"/>
      <c r="AO38" s="42">
        <v>5000</v>
      </c>
      <c r="AP38" s="29"/>
      <c r="AQ38" s="42">
        <v>30</v>
      </c>
      <c r="AR38" s="29">
        <v>40</v>
      </c>
      <c r="AS38" s="29">
        <v>10</v>
      </c>
      <c r="AT38" s="29" t="s">
        <v>318</v>
      </c>
    </row>
    <row r="39" spans="1:46" ht="33">
      <c r="A39" s="29">
        <v>1118</v>
      </c>
      <c r="B39" s="29">
        <v>1118</v>
      </c>
      <c r="C39" s="29" t="s">
        <v>338</v>
      </c>
      <c r="D39" s="29" t="s">
        <v>338</v>
      </c>
      <c r="E39" s="44" t="s">
        <v>223</v>
      </c>
      <c r="F39" s="29" t="s">
        <v>224</v>
      </c>
      <c r="G39" s="29" t="s">
        <v>339</v>
      </c>
      <c r="H39" s="29"/>
      <c r="I39" s="44"/>
      <c r="J39" s="44" t="s">
        <v>200</v>
      </c>
      <c r="K39" s="44"/>
      <c r="L39" s="44" t="s">
        <v>171</v>
      </c>
      <c r="M39" s="39">
        <v>45767</v>
      </c>
      <c r="N39" s="39">
        <v>45767</v>
      </c>
      <c r="O39" s="29">
        <v>1121</v>
      </c>
      <c r="P39" s="29">
        <v>1121</v>
      </c>
      <c r="Q39" s="29" t="s">
        <v>172</v>
      </c>
      <c r="R39" s="44" t="s">
        <v>333</v>
      </c>
      <c r="S39" s="44" t="s">
        <v>333</v>
      </c>
      <c r="T39" s="29">
        <v>1117</v>
      </c>
      <c r="U39" s="29" t="s">
        <v>329</v>
      </c>
      <c r="V39" s="29">
        <v>80</v>
      </c>
      <c r="W39" s="29" t="s">
        <v>174</v>
      </c>
      <c r="X39" s="29" t="s">
        <v>227</v>
      </c>
      <c r="Y39" s="29" t="s">
        <v>192</v>
      </c>
      <c r="Z39" s="29" t="s">
        <v>96</v>
      </c>
      <c r="AA39" s="29"/>
      <c r="AB39" s="29" t="s">
        <v>100</v>
      </c>
      <c r="AC39" s="29" t="s">
        <v>100</v>
      </c>
      <c r="AD39" s="29" t="s">
        <v>25</v>
      </c>
      <c r="AE39" s="40">
        <v>100000</v>
      </c>
      <c r="AF39" s="40">
        <v>100000</v>
      </c>
      <c r="AG39" s="29">
        <v>3</v>
      </c>
      <c r="AH39" s="29" t="s">
        <v>177</v>
      </c>
      <c r="AI39" s="29">
        <v>23700</v>
      </c>
      <c r="AJ39" s="29">
        <v>31500</v>
      </c>
      <c r="AK39" s="29">
        <v>39400</v>
      </c>
      <c r="AL39" s="30" t="s">
        <v>38</v>
      </c>
      <c r="AM39" s="30" t="s">
        <v>38</v>
      </c>
      <c r="AN39" s="29"/>
      <c r="AO39" s="42">
        <v>5000</v>
      </c>
      <c r="AP39" s="29"/>
      <c r="AQ39" s="42">
        <v>30</v>
      </c>
      <c r="AR39" s="29">
        <v>40</v>
      </c>
      <c r="AS39" s="29">
        <v>10</v>
      </c>
      <c r="AT39" s="29" t="s">
        <v>318</v>
      </c>
    </row>
    <row r="40" spans="1:46" ht="33">
      <c r="A40" s="29">
        <v>59</v>
      </c>
      <c r="B40" s="29">
        <v>59</v>
      </c>
      <c r="C40" s="29" t="s">
        <v>340</v>
      </c>
      <c r="D40" s="29" t="s">
        <v>340</v>
      </c>
      <c r="E40" s="44" t="s">
        <v>230</v>
      </c>
      <c r="F40" s="29" t="s">
        <v>231</v>
      </c>
      <c r="G40" s="29" t="s">
        <v>339</v>
      </c>
      <c r="H40" s="29"/>
      <c r="I40" s="44"/>
      <c r="J40" s="44" t="s">
        <v>207</v>
      </c>
      <c r="K40" s="44"/>
      <c r="L40" s="44" t="s">
        <v>171</v>
      </c>
      <c r="M40" s="39">
        <v>45767</v>
      </c>
      <c r="N40" s="39">
        <v>45767</v>
      </c>
      <c r="O40" s="29">
        <v>1121</v>
      </c>
      <c r="P40" s="29">
        <v>1121</v>
      </c>
      <c r="Q40" s="29" t="s">
        <v>208</v>
      </c>
      <c r="R40" s="44" t="s">
        <v>333</v>
      </c>
      <c r="S40" s="44" t="s">
        <v>333</v>
      </c>
      <c r="T40" s="29">
        <v>1117</v>
      </c>
      <c r="U40" s="29" t="s">
        <v>329</v>
      </c>
      <c r="V40" s="29">
        <v>80</v>
      </c>
      <c r="W40" s="29" t="s">
        <v>174</v>
      </c>
      <c r="X40" s="29" t="s">
        <v>233</v>
      </c>
      <c r="Y40" s="29" t="s">
        <v>251</v>
      </c>
      <c r="Z40" s="29" t="s">
        <v>96</v>
      </c>
      <c r="AA40" s="29"/>
      <c r="AB40" s="29" t="s">
        <v>97</v>
      </c>
      <c r="AC40" s="29" t="s">
        <v>97</v>
      </c>
      <c r="AD40" s="29" t="s">
        <v>25</v>
      </c>
      <c r="AE40" s="40">
        <v>100000</v>
      </c>
      <c r="AF40" s="40">
        <v>100000</v>
      </c>
      <c r="AG40" s="29">
        <v>4</v>
      </c>
      <c r="AH40" s="29" t="s">
        <v>228</v>
      </c>
      <c r="AI40" s="29">
        <v>14000</v>
      </c>
      <c r="AJ40" s="29">
        <v>18600</v>
      </c>
      <c r="AK40" s="29">
        <v>22800</v>
      </c>
      <c r="AL40" s="30" t="s">
        <v>39</v>
      </c>
      <c r="AM40" s="30" t="s">
        <v>39</v>
      </c>
      <c r="AN40" s="29"/>
      <c r="AO40" s="42">
        <v>5000</v>
      </c>
      <c r="AP40" s="29"/>
      <c r="AQ40" s="42">
        <v>30</v>
      </c>
      <c r="AR40" s="29">
        <v>40</v>
      </c>
      <c r="AS40" s="29">
        <v>10</v>
      </c>
      <c r="AT40" s="29" t="s">
        <v>318</v>
      </c>
    </row>
    <row r="41" spans="1:46" ht="33">
      <c r="A41" s="29">
        <v>1127</v>
      </c>
      <c r="B41" s="29">
        <v>1127</v>
      </c>
      <c r="C41" s="29" t="s">
        <v>341</v>
      </c>
      <c r="D41" s="29" t="s">
        <v>341</v>
      </c>
      <c r="E41" s="44" t="s">
        <v>236</v>
      </c>
      <c r="F41" s="29" t="s">
        <v>237</v>
      </c>
      <c r="G41" s="29" t="s">
        <v>339</v>
      </c>
      <c r="H41" s="29"/>
      <c r="I41" s="44"/>
      <c r="J41" s="44" t="s">
        <v>214</v>
      </c>
      <c r="K41" s="44"/>
      <c r="L41" s="44" t="s">
        <v>171</v>
      </c>
      <c r="M41" s="39">
        <v>45767</v>
      </c>
      <c r="N41" s="39">
        <v>45767</v>
      </c>
      <c r="O41" s="29">
        <v>1121</v>
      </c>
      <c r="P41" s="29">
        <v>1121</v>
      </c>
      <c r="Q41" s="29" t="s">
        <v>208</v>
      </c>
      <c r="R41" s="44" t="s">
        <v>333</v>
      </c>
      <c r="S41" s="44" t="s">
        <v>333</v>
      </c>
      <c r="T41" s="29">
        <v>1117</v>
      </c>
      <c r="U41" s="29" t="s">
        <v>329</v>
      </c>
      <c r="V41" s="29">
        <v>80</v>
      </c>
      <c r="W41" s="29" t="s">
        <v>174</v>
      </c>
      <c r="X41" s="29" t="s">
        <v>239</v>
      </c>
      <c r="Y41" s="29" t="s">
        <v>251</v>
      </c>
      <c r="Z41" s="29" t="s">
        <v>96</v>
      </c>
      <c r="AA41" s="29"/>
      <c r="AB41" s="29" t="s">
        <v>97</v>
      </c>
      <c r="AC41" s="29" t="s">
        <v>97</v>
      </c>
      <c r="AD41" s="29" t="s">
        <v>25</v>
      </c>
      <c r="AE41" s="40">
        <v>100000</v>
      </c>
      <c r="AF41" s="40">
        <v>100000</v>
      </c>
      <c r="AG41" s="29">
        <v>4</v>
      </c>
      <c r="AH41" s="29" t="s">
        <v>228</v>
      </c>
      <c r="AI41" s="29">
        <v>14000</v>
      </c>
      <c r="AJ41" s="29">
        <v>18600</v>
      </c>
      <c r="AK41" s="29">
        <v>22800</v>
      </c>
      <c r="AL41" s="30" t="s">
        <v>40</v>
      </c>
      <c r="AM41" s="30" t="s">
        <v>40</v>
      </c>
      <c r="AN41" s="29"/>
      <c r="AO41" s="42">
        <v>5000</v>
      </c>
      <c r="AP41" s="29"/>
      <c r="AQ41" s="42">
        <v>30</v>
      </c>
      <c r="AR41" s="29">
        <v>40</v>
      </c>
      <c r="AS41" s="29">
        <v>10</v>
      </c>
      <c r="AT41" s="29" t="s">
        <v>318</v>
      </c>
    </row>
    <row r="42" spans="1:46" ht="33">
      <c r="A42" s="29">
        <v>1132</v>
      </c>
      <c r="B42" s="29">
        <v>1132</v>
      </c>
      <c r="C42" s="29" t="s">
        <v>342</v>
      </c>
      <c r="D42" s="29" t="s">
        <v>342</v>
      </c>
      <c r="E42" s="44" t="s">
        <v>241</v>
      </c>
      <c r="F42" s="29" t="s">
        <v>242</v>
      </c>
      <c r="G42" s="29" t="s">
        <v>343</v>
      </c>
      <c r="H42" s="29"/>
      <c r="I42" s="44"/>
      <c r="J42" s="44" t="s">
        <v>220</v>
      </c>
      <c r="K42" s="44"/>
      <c r="L42" s="44" t="s">
        <v>171</v>
      </c>
      <c r="M42" s="39">
        <v>45767</v>
      </c>
      <c r="N42" s="39">
        <v>45767</v>
      </c>
      <c r="O42" s="29">
        <v>1121</v>
      </c>
      <c r="P42" s="29">
        <v>1121</v>
      </c>
      <c r="Q42" s="29" t="s">
        <v>183</v>
      </c>
      <c r="R42" s="44" t="s">
        <v>333</v>
      </c>
      <c r="S42" s="44" t="s">
        <v>333</v>
      </c>
      <c r="T42" s="29">
        <v>1117</v>
      </c>
      <c r="U42" s="29" t="s">
        <v>329</v>
      </c>
      <c r="V42" s="29">
        <v>80</v>
      </c>
      <c r="W42" s="29" t="s">
        <v>174</v>
      </c>
      <c r="X42" s="29" t="s">
        <v>245</v>
      </c>
      <c r="Y42" s="29" t="s">
        <v>251</v>
      </c>
      <c r="Z42" s="29" t="s">
        <v>115</v>
      </c>
      <c r="AA42" s="29"/>
      <c r="AB42" s="29" t="s">
        <v>97</v>
      </c>
      <c r="AC42" s="29" t="s">
        <v>97</v>
      </c>
      <c r="AD42" s="29" t="s">
        <v>25</v>
      </c>
      <c r="AE42" s="40">
        <v>100000</v>
      </c>
      <c r="AF42" s="40">
        <v>100000</v>
      </c>
      <c r="AG42" s="29">
        <v>5</v>
      </c>
      <c r="AH42" s="29" t="s">
        <v>234</v>
      </c>
      <c r="AI42" s="29">
        <v>14000</v>
      </c>
      <c r="AJ42" s="29">
        <v>18600</v>
      </c>
      <c r="AK42" s="29">
        <v>22800</v>
      </c>
      <c r="AL42" s="30" t="s">
        <v>37</v>
      </c>
      <c r="AM42" s="30" t="s">
        <v>37</v>
      </c>
      <c r="AN42" s="29"/>
      <c r="AO42" s="42">
        <v>5000</v>
      </c>
      <c r="AP42" s="29"/>
      <c r="AQ42" s="42">
        <v>30</v>
      </c>
      <c r="AR42" s="29">
        <v>40</v>
      </c>
      <c r="AS42" s="29">
        <v>15</v>
      </c>
      <c r="AT42" s="29" t="s">
        <v>318</v>
      </c>
    </row>
    <row r="43" spans="1:46" ht="33">
      <c r="A43" s="29">
        <v>1126</v>
      </c>
      <c r="B43" s="29">
        <v>1126</v>
      </c>
      <c r="C43" s="29" t="s">
        <v>344</v>
      </c>
      <c r="D43" s="29" t="s">
        <v>344</v>
      </c>
      <c r="E43" s="44" t="s">
        <v>176</v>
      </c>
      <c r="F43" s="29" t="s">
        <v>247</v>
      </c>
      <c r="G43" s="29" t="s">
        <v>343</v>
      </c>
      <c r="H43" s="29"/>
      <c r="I43" s="44"/>
      <c r="J43" s="44" t="s">
        <v>225</v>
      </c>
      <c r="K43" s="44"/>
      <c r="L43" s="44" t="s">
        <v>171</v>
      </c>
      <c r="M43" s="39">
        <v>45767</v>
      </c>
      <c r="N43" s="39">
        <v>45767</v>
      </c>
      <c r="O43" s="29">
        <v>1121</v>
      </c>
      <c r="P43" s="29">
        <v>1121</v>
      </c>
      <c r="Q43" s="29" t="s">
        <v>189</v>
      </c>
      <c r="R43" s="44" t="s">
        <v>333</v>
      </c>
      <c r="S43" s="44" t="s">
        <v>333</v>
      </c>
      <c r="T43" s="29">
        <v>1117</v>
      </c>
      <c r="U43" s="29" t="s">
        <v>329</v>
      </c>
      <c r="V43" s="29">
        <v>80</v>
      </c>
      <c r="W43" s="29" t="s">
        <v>174</v>
      </c>
      <c r="X43" s="29" t="s">
        <v>250</v>
      </c>
      <c r="Y43" s="29" t="s">
        <v>251</v>
      </c>
      <c r="Z43" s="29" t="s">
        <v>96</v>
      </c>
      <c r="AA43" s="29"/>
      <c r="AB43" s="29" t="s">
        <v>97</v>
      </c>
      <c r="AC43" s="29" t="s">
        <v>97</v>
      </c>
      <c r="AD43" s="29" t="s">
        <v>25</v>
      </c>
      <c r="AE43" s="40">
        <v>100000</v>
      </c>
      <c r="AF43" s="40">
        <v>100000</v>
      </c>
      <c r="AG43" s="29">
        <v>4</v>
      </c>
      <c r="AH43" s="29" t="s">
        <v>228</v>
      </c>
      <c r="AI43" s="29">
        <v>14000</v>
      </c>
      <c r="AJ43" s="29">
        <v>18600</v>
      </c>
      <c r="AK43" s="29">
        <v>22800</v>
      </c>
      <c r="AL43" s="30" t="s">
        <v>38</v>
      </c>
      <c r="AM43" s="30" t="s">
        <v>38</v>
      </c>
      <c r="AN43" s="29"/>
      <c r="AO43" s="42">
        <v>5000</v>
      </c>
      <c r="AP43" s="29"/>
      <c r="AQ43" s="42">
        <v>30</v>
      </c>
      <c r="AR43" s="29">
        <v>40</v>
      </c>
      <c r="AS43" s="29">
        <v>15</v>
      </c>
      <c r="AT43" s="29" t="s">
        <v>318</v>
      </c>
    </row>
    <row r="44" spans="1:46" ht="33">
      <c r="A44" s="29">
        <v>1125</v>
      </c>
      <c r="B44" s="29">
        <v>1125</v>
      </c>
      <c r="C44" s="29" t="s">
        <v>345</v>
      </c>
      <c r="D44" s="29" t="s">
        <v>345</v>
      </c>
      <c r="E44" s="44" t="s">
        <v>254</v>
      </c>
      <c r="F44" s="29" t="s">
        <v>255</v>
      </c>
      <c r="G44" s="29" t="s">
        <v>343</v>
      </c>
      <c r="H44" s="29"/>
      <c r="I44" s="44"/>
      <c r="J44" s="44" t="s">
        <v>232</v>
      </c>
      <c r="K44" s="44"/>
      <c r="L44" s="44" t="s">
        <v>171</v>
      </c>
      <c r="M44" s="39">
        <v>45767</v>
      </c>
      <c r="N44" s="39">
        <v>45767</v>
      </c>
      <c r="O44" s="29">
        <v>1121</v>
      </c>
      <c r="P44" s="29">
        <v>1121</v>
      </c>
      <c r="Q44" s="29" t="s">
        <v>183</v>
      </c>
      <c r="R44" s="44" t="s">
        <v>333</v>
      </c>
      <c r="S44" s="44" t="s">
        <v>333</v>
      </c>
      <c r="T44" s="29">
        <v>1117</v>
      </c>
      <c r="U44" s="29" t="s">
        <v>329</v>
      </c>
      <c r="V44" s="29">
        <v>80</v>
      </c>
      <c r="W44" s="29" t="s">
        <v>174</v>
      </c>
      <c r="X44" s="29" t="s">
        <v>257</v>
      </c>
      <c r="Y44" s="29" t="s">
        <v>186</v>
      </c>
      <c r="Z44" s="29" t="s">
        <v>96</v>
      </c>
      <c r="AA44" s="29"/>
      <c r="AB44" s="29" t="s">
        <v>99</v>
      </c>
      <c r="AC44" s="29" t="s">
        <v>99</v>
      </c>
      <c r="AD44" s="29" t="s">
        <v>25</v>
      </c>
      <c r="AE44" s="40">
        <v>100000</v>
      </c>
      <c r="AF44" s="40">
        <v>100000</v>
      </c>
      <c r="AG44" s="29">
        <v>3</v>
      </c>
      <c r="AH44" s="29" t="s">
        <v>177</v>
      </c>
      <c r="AI44" s="29">
        <v>8000</v>
      </c>
      <c r="AJ44" s="29">
        <v>12000</v>
      </c>
      <c r="AK44" s="29">
        <v>12000</v>
      </c>
      <c r="AL44" s="30" t="s">
        <v>39</v>
      </c>
      <c r="AM44" s="30" t="s">
        <v>39</v>
      </c>
      <c r="AN44" s="29"/>
      <c r="AO44" s="42">
        <v>5000</v>
      </c>
      <c r="AP44" s="29"/>
      <c r="AQ44" s="42">
        <v>30</v>
      </c>
      <c r="AR44" s="29">
        <v>40</v>
      </c>
      <c r="AS44" s="29">
        <v>15</v>
      </c>
      <c r="AT44" s="29">
        <v>1.5</v>
      </c>
    </row>
    <row r="45" spans="1:46" ht="16.5">
      <c r="A45" s="29">
        <v>167</v>
      </c>
      <c r="B45" s="29">
        <v>167</v>
      </c>
      <c r="C45" s="29" t="s">
        <v>346</v>
      </c>
      <c r="D45" s="29" t="s">
        <v>346</v>
      </c>
      <c r="E45" s="44" t="s">
        <v>262</v>
      </c>
      <c r="F45" s="29" t="s">
        <v>263</v>
      </c>
      <c r="G45" s="29" t="s">
        <v>86</v>
      </c>
      <c r="H45" s="29"/>
      <c r="I45" s="44"/>
      <c r="J45" s="44" t="s">
        <v>238</v>
      </c>
      <c r="K45" s="44"/>
      <c r="L45" s="44" t="s">
        <v>171</v>
      </c>
      <c r="M45" s="39">
        <v>45767</v>
      </c>
      <c r="N45" s="39">
        <v>45767</v>
      </c>
      <c r="O45" s="29">
        <v>166</v>
      </c>
      <c r="P45" s="29">
        <v>166</v>
      </c>
      <c r="Q45" s="29" t="s">
        <v>208</v>
      </c>
      <c r="R45" s="44" t="s">
        <v>347</v>
      </c>
      <c r="S45" s="44" t="s">
        <v>347</v>
      </c>
      <c r="T45" s="29">
        <v>1117</v>
      </c>
      <c r="U45" s="29" t="s">
        <v>329</v>
      </c>
      <c r="V45" s="29">
        <v>80</v>
      </c>
      <c r="W45" s="29" t="s">
        <v>174</v>
      </c>
      <c r="X45" s="29" t="s">
        <v>264</v>
      </c>
      <c r="Y45" s="29" t="s">
        <v>291</v>
      </c>
      <c r="Z45" s="29" t="s">
        <v>96</v>
      </c>
      <c r="AA45" s="29"/>
      <c r="AB45" s="29" t="s">
        <v>110</v>
      </c>
      <c r="AC45" s="29" t="s">
        <v>110</v>
      </c>
      <c r="AD45" s="29" t="s">
        <v>25</v>
      </c>
      <c r="AE45" s="40">
        <v>100000</v>
      </c>
      <c r="AF45" s="40">
        <v>100000</v>
      </c>
      <c r="AG45" s="29">
        <v>4</v>
      </c>
      <c r="AH45" s="29" t="s">
        <v>228</v>
      </c>
      <c r="AI45" s="29">
        <v>94200</v>
      </c>
      <c r="AJ45" s="29">
        <v>157000</v>
      </c>
      <c r="AK45" s="29">
        <v>219800</v>
      </c>
      <c r="AL45" s="30" t="s">
        <v>40</v>
      </c>
      <c r="AM45" s="30" t="s">
        <v>40</v>
      </c>
      <c r="AN45" s="29"/>
      <c r="AO45" s="42">
        <v>5000</v>
      </c>
      <c r="AP45" s="29"/>
      <c r="AQ45" s="42">
        <v>30</v>
      </c>
      <c r="AR45" s="29">
        <v>40</v>
      </c>
      <c r="AS45" s="29">
        <v>15</v>
      </c>
      <c r="AT45" s="29"/>
    </row>
    <row r="46" spans="1:46" ht="16.5">
      <c r="A46" s="38">
        <v>168</v>
      </c>
      <c r="B46" s="38">
        <v>168</v>
      </c>
      <c r="C46" s="38" t="s">
        <v>348</v>
      </c>
      <c r="D46" s="38" t="s">
        <v>348</v>
      </c>
      <c r="E46" s="44" t="s">
        <v>266</v>
      </c>
      <c r="F46" s="29" t="s">
        <v>267</v>
      </c>
      <c r="G46" s="29" t="s">
        <v>86</v>
      </c>
      <c r="H46" s="29"/>
      <c r="I46" s="44"/>
      <c r="J46" s="44" t="s">
        <v>170</v>
      </c>
      <c r="K46" s="44"/>
      <c r="L46" s="44" t="s">
        <v>171</v>
      </c>
      <c r="M46" s="39">
        <v>45767</v>
      </c>
      <c r="N46" s="39">
        <v>45767</v>
      </c>
      <c r="O46" s="29">
        <v>166</v>
      </c>
      <c r="P46" s="29">
        <v>166</v>
      </c>
      <c r="Q46" s="29" t="s">
        <v>183</v>
      </c>
      <c r="R46" s="44" t="s">
        <v>347</v>
      </c>
      <c r="S46" s="44" t="s">
        <v>347</v>
      </c>
      <c r="T46" s="29">
        <v>1117</v>
      </c>
      <c r="U46" s="29" t="s">
        <v>329</v>
      </c>
      <c r="V46" s="29">
        <v>80</v>
      </c>
      <c r="W46" s="29" t="s">
        <v>174</v>
      </c>
      <c r="X46" s="29" t="s">
        <v>268</v>
      </c>
      <c r="Y46" s="29" t="s">
        <v>349</v>
      </c>
      <c r="Z46" s="29" t="s">
        <v>96</v>
      </c>
      <c r="AA46" s="29"/>
      <c r="AB46" s="29" t="s">
        <v>111</v>
      </c>
      <c r="AC46" s="29" t="s">
        <v>111</v>
      </c>
      <c r="AD46" s="29" t="s">
        <v>25</v>
      </c>
      <c r="AE46" s="40">
        <v>100000</v>
      </c>
      <c r="AF46" s="40">
        <v>100000</v>
      </c>
      <c r="AG46" s="29">
        <v>3</v>
      </c>
      <c r="AH46" s="29" t="s">
        <v>177</v>
      </c>
      <c r="AI46" s="29">
        <v>112800</v>
      </c>
      <c r="AJ46" s="29">
        <v>188000</v>
      </c>
      <c r="AK46" s="29">
        <v>263200</v>
      </c>
      <c r="AL46" s="30" t="s">
        <v>37</v>
      </c>
      <c r="AM46" s="30" t="s">
        <v>37</v>
      </c>
      <c r="AN46" s="29"/>
      <c r="AO46" s="42">
        <v>5000</v>
      </c>
      <c r="AP46" s="29"/>
      <c r="AQ46" s="42">
        <v>30</v>
      </c>
      <c r="AR46" s="29">
        <v>40</v>
      </c>
      <c r="AS46" s="29">
        <v>15</v>
      </c>
      <c r="AT46" s="29"/>
    </row>
    <row r="47" spans="1:46" ht="33">
      <c r="A47" s="29">
        <v>1113</v>
      </c>
      <c r="B47" s="29">
        <v>1113</v>
      </c>
      <c r="C47" s="29" t="s">
        <v>350</v>
      </c>
      <c r="D47" s="29" t="s">
        <v>350</v>
      </c>
      <c r="E47" s="44" t="s">
        <v>270</v>
      </c>
      <c r="F47" s="29" t="s">
        <v>271</v>
      </c>
      <c r="G47" s="29" t="s">
        <v>86</v>
      </c>
      <c r="H47" s="29"/>
      <c r="I47" s="44"/>
      <c r="J47" s="44" t="s">
        <v>182</v>
      </c>
      <c r="K47" s="44"/>
      <c r="L47" s="44" t="s">
        <v>171</v>
      </c>
      <c r="M47" s="39">
        <v>45767</v>
      </c>
      <c r="N47" s="39">
        <v>45767</v>
      </c>
      <c r="O47" s="29">
        <v>1012</v>
      </c>
      <c r="P47" s="29">
        <v>1012</v>
      </c>
      <c r="Q47" s="29" t="s">
        <v>183</v>
      </c>
      <c r="R47" s="44" t="s">
        <v>322</v>
      </c>
      <c r="S47" s="44" t="s">
        <v>322</v>
      </c>
      <c r="T47" s="29">
        <v>1117</v>
      </c>
      <c r="U47" s="29" t="s">
        <v>329</v>
      </c>
      <c r="V47" s="29">
        <v>80</v>
      </c>
      <c r="W47" s="29" t="s">
        <v>174</v>
      </c>
      <c r="X47" s="29" t="s">
        <v>272</v>
      </c>
      <c r="Y47" s="29" t="s">
        <v>303</v>
      </c>
      <c r="Z47" s="29" t="s">
        <v>96</v>
      </c>
      <c r="AA47" s="29"/>
      <c r="AB47" s="29" t="s">
        <v>111</v>
      </c>
      <c r="AC47" s="29" t="s">
        <v>111</v>
      </c>
      <c r="AD47" s="29" t="s">
        <v>16</v>
      </c>
      <c r="AE47" s="40">
        <v>100000</v>
      </c>
      <c r="AF47" s="40">
        <v>100000</v>
      </c>
      <c r="AG47" s="29">
        <v>3</v>
      </c>
      <c r="AH47" s="29" t="s">
        <v>177</v>
      </c>
      <c r="AI47" s="29">
        <v>112800</v>
      </c>
      <c r="AJ47" s="29">
        <v>188000</v>
      </c>
      <c r="AK47" s="29">
        <v>263200</v>
      </c>
      <c r="AL47" s="30" t="s">
        <v>38</v>
      </c>
      <c r="AM47" s="30" t="s">
        <v>38</v>
      </c>
      <c r="AN47" s="29"/>
      <c r="AO47" s="42">
        <v>5000</v>
      </c>
      <c r="AP47" s="29"/>
      <c r="AQ47" s="42">
        <v>30</v>
      </c>
      <c r="AR47" s="29">
        <v>40</v>
      </c>
      <c r="AS47" s="29">
        <v>15</v>
      </c>
      <c r="AT47" s="29"/>
    </row>
    <row r="48" spans="1:46" ht="33">
      <c r="A48" s="29">
        <v>1028</v>
      </c>
      <c r="B48" s="29">
        <v>1028</v>
      </c>
      <c r="C48" s="29" t="s">
        <v>351</v>
      </c>
      <c r="D48" s="29" t="s">
        <v>351</v>
      </c>
      <c r="E48" s="44" t="s">
        <v>274</v>
      </c>
      <c r="F48" s="29" t="s">
        <v>275</v>
      </c>
      <c r="G48" s="29" t="s">
        <v>352</v>
      </c>
      <c r="H48" s="29"/>
      <c r="I48" s="44"/>
      <c r="J48" s="44" t="s">
        <v>188</v>
      </c>
      <c r="K48" s="44"/>
      <c r="L48" s="44" t="s">
        <v>171</v>
      </c>
      <c r="M48" s="39">
        <v>45767</v>
      </c>
      <c r="N48" s="39">
        <v>45767</v>
      </c>
      <c r="O48" s="29">
        <v>1012</v>
      </c>
      <c r="P48" s="29">
        <v>1012</v>
      </c>
      <c r="Q48" s="29" t="s">
        <v>195</v>
      </c>
      <c r="R48" s="44" t="s">
        <v>322</v>
      </c>
      <c r="S48" s="44" t="s">
        <v>322</v>
      </c>
      <c r="T48" s="29">
        <v>1117</v>
      </c>
      <c r="U48" s="29" t="s">
        <v>329</v>
      </c>
      <c r="V48" s="29">
        <v>80</v>
      </c>
      <c r="W48" s="29" t="s">
        <v>174</v>
      </c>
      <c r="X48" s="29" t="s">
        <v>276</v>
      </c>
      <c r="Y48" s="29" t="s">
        <v>353</v>
      </c>
      <c r="Z48" s="29" t="s">
        <v>96</v>
      </c>
      <c r="AA48" s="29"/>
      <c r="AB48" s="29" t="s">
        <v>104</v>
      </c>
      <c r="AC48" s="29" t="s">
        <v>104</v>
      </c>
      <c r="AD48" s="29" t="s">
        <v>16</v>
      </c>
      <c r="AE48" s="40">
        <v>100000</v>
      </c>
      <c r="AF48" s="40">
        <v>100000</v>
      </c>
      <c r="AG48" s="29">
        <v>3</v>
      </c>
      <c r="AH48" s="29" t="s">
        <v>177</v>
      </c>
      <c r="AI48" s="29">
        <v>48100</v>
      </c>
      <c r="AJ48" s="29">
        <v>74000</v>
      </c>
      <c r="AK48" s="29">
        <v>99900</v>
      </c>
      <c r="AL48" s="30" t="s">
        <v>39</v>
      </c>
      <c r="AM48" s="30" t="s">
        <v>39</v>
      </c>
      <c r="AN48" s="29"/>
      <c r="AO48" s="42">
        <v>5000</v>
      </c>
      <c r="AP48" s="29"/>
      <c r="AQ48" s="42">
        <v>30</v>
      </c>
      <c r="AR48" s="29">
        <v>40</v>
      </c>
      <c r="AS48" s="29">
        <v>15</v>
      </c>
      <c r="AT48" s="29"/>
    </row>
    <row r="49" spans="1:46" ht="33">
      <c r="A49" s="29">
        <v>1010</v>
      </c>
      <c r="B49" s="29">
        <v>1010</v>
      </c>
      <c r="C49" s="29" t="s">
        <v>354</v>
      </c>
      <c r="D49" s="29" t="s">
        <v>354</v>
      </c>
      <c r="E49" s="44" t="s">
        <v>278</v>
      </c>
      <c r="F49" s="29" t="s">
        <v>279</v>
      </c>
      <c r="G49" s="29" t="s">
        <v>352</v>
      </c>
      <c r="H49" s="29"/>
      <c r="I49" s="44"/>
      <c r="J49" s="44" t="s">
        <v>194</v>
      </c>
      <c r="K49" s="44"/>
      <c r="L49" s="44" t="s">
        <v>171</v>
      </c>
      <c r="M49" s="39">
        <v>45767</v>
      </c>
      <c r="N49" s="39">
        <v>45767</v>
      </c>
      <c r="O49" s="29">
        <v>1012</v>
      </c>
      <c r="P49" s="29">
        <v>1012</v>
      </c>
      <c r="Q49" s="29" t="s">
        <v>172</v>
      </c>
      <c r="R49" s="44" t="s">
        <v>322</v>
      </c>
      <c r="S49" s="44" t="s">
        <v>322</v>
      </c>
      <c r="T49" s="29">
        <v>1117</v>
      </c>
      <c r="U49" s="29" t="s">
        <v>329</v>
      </c>
      <c r="V49" s="29">
        <v>80</v>
      </c>
      <c r="W49" s="29" t="s">
        <v>174</v>
      </c>
      <c r="X49" s="29" t="s">
        <v>280</v>
      </c>
      <c r="Y49" s="29" t="s">
        <v>299</v>
      </c>
      <c r="Z49" s="29" t="s">
        <v>96</v>
      </c>
      <c r="AA49" s="29"/>
      <c r="AB49" s="29" t="s">
        <v>111</v>
      </c>
      <c r="AC49" s="29" t="s">
        <v>111</v>
      </c>
      <c r="AD49" s="29" t="s">
        <v>16</v>
      </c>
      <c r="AE49" s="40">
        <v>100000</v>
      </c>
      <c r="AF49" s="40">
        <v>100000</v>
      </c>
      <c r="AG49" s="29">
        <v>4</v>
      </c>
      <c r="AH49" s="29" t="s">
        <v>228</v>
      </c>
      <c r="AI49" s="29">
        <v>112800</v>
      </c>
      <c r="AJ49" s="29">
        <v>188000</v>
      </c>
      <c r="AK49" s="29">
        <v>263200</v>
      </c>
      <c r="AL49" s="30" t="s">
        <v>40</v>
      </c>
      <c r="AM49" s="30" t="s">
        <v>40</v>
      </c>
      <c r="AN49" s="29"/>
      <c r="AO49" s="42">
        <v>5000</v>
      </c>
      <c r="AP49" s="29"/>
      <c r="AQ49" s="42">
        <v>30</v>
      </c>
      <c r="AR49" s="29">
        <v>40</v>
      </c>
      <c r="AS49" s="29">
        <v>15</v>
      </c>
      <c r="AT49" s="29"/>
    </row>
    <row r="50" spans="1:46" ht="16.5">
      <c r="A50" s="29">
        <v>175</v>
      </c>
      <c r="B50" s="29">
        <v>175</v>
      </c>
      <c r="C50" s="29" t="s">
        <v>355</v>
      </c>
      <c r="D50" s="29" t="s">
        <v>355</v>
      </c>
      <c r="E50" s="44" t="s">
        <v>282</v>
      </c>
      <c r="F50" s="29" t="s">
        <v>283</v>
      </c>
      <c r="G50" s="29" t="s">
        <v>352</v>
      </c>
      <c r="H50" s="29"/>
      <c r="I50" s="44" t="s">
        <v>356</v>
      </c>
      <c r="J50" s="44" t="s">
        <v>200</v>
      </c>
      <c r="K50" s="44"/>
      <c r="L50" s="44"/>
      <c r="M50" s="39">
        <v>45767</v>
      </c>
      <c r="N50" s="39">
        <v>45767</v>
      </c>
      <c r="O50" s="29">
        <v>168</v>
      </c>
      <c r="P50" s="29">
        <v>168</v>
      </c>
      <c r="Q50" s="29" t="s">
        <v>208</v>
      </c>
      <c r="R50" s="44" t="s">
        <v>357</v>
      </c>
      <c r="S50" s="44" t="s">
        <v>357</v>
      </c>
      <c r="T50" s="29"/>
      <c r="U50" s="29"/>
      <c r="V50" s="29"/>
      <c r="W50" s="29"/>
      <c r="X50" s="29" t="s">
        <v>284</v>
      </c>
      <c r="Y50" s="29" t="s">
        <v>278</v>
      </c>
      <c r="Z50" s="29" t="s">
        <v>96</v>
      </c>
      <c r="AA50" s="29"/>
      <c r="AB50" s="29" t="s">
        <v>105</v>
      </c>
      <c r="AC50" s="29" t="s">
        <v>105</v>
      </c>
      <c r="AD50" s="29"/>
      <c r="AE50" s="40">
        <v>100000</v>
      </c>
      <c r="AF50" s="40">
        <v>100000</v>
      </c>
      <c r="AG50" s="29"/>
      <c r="AH50" s="29" t="s">
        <v>228</v>
      </c>
      <c r="AI50" s="29">
        <v>53300</v>
      </c>
      <c r="AJ50" s="29">
        <v>82000</v>
      </c>
      <c r="AK50" s="29">
        <v>110700</v>
      </c>
      <c r="AL50" s="30" t="s">
        <v>37</v>
      </c>
      <c r="AM50" s="30" t="s">
        <v>37</v>
      </c>
      <c r="AN50" s="29"/>
      <c r="AO50" s="42">
        <v>5000</v>
      </c>
      <c r="AP50" s="29"/>
      <c r="AQ50" s="42">
        <v>30</v>
      </c>
      <c r="AR50" s="29">
        <v>40</v>
      </c>
      <c r="AS50" s="29">
        <v>15</v>
      </c>
      <c r="AT50" s="29"/>
    </row>
    <row r="51" spans="1:46" ht="16.5">
      <c r="A51" s="29">
        <v>176</v>
      </c>
      <c r="B51" s="29">
        <v>176</v>
      </c>
      <c r="C51" s="29" t="s">
        <v>358</v>
      </c>
      <c r="D51" s="29" t="s">
        <v>358</v>
      </c>
      <c r="E51" s="44" t="s">
        <v>258</v>
      </c>
      <c r="F51" s="29" t="s">
        <v>285</v>
      </c>
      <c r="G51" s="29" t="b">
        <v>0</v>
      </c>
      <c r="H51" s="29"/>
      <c r="I51" s="44" t="s">
        <v>356</v>
      </c>
      <c r="J51" s="44" t="s">
        <v>207</v>
      </c>
      <c r="K51" s="44"/>
      <c r="L51" s="44"/>
      <c r="M51" s="39">
        <v>45767</v>
      </c>
      <c r="N51" s="39">
        <v>45767</v>
      </c>
      <c r="O51" s="29">
        <v>168</v>
      </c>
      <c r="P51" s="29">
        <v>168</v>
      </c>
      <c r="Q51" s="29" t="s">
        <v>195</v>
      </c>
      <c r="R51" s="44" t="s">
        <v>357</v>
      </c>
      <c r="S51" s="44" t="s">
        <v>357</v>
      </c>
      <c r="T51" s="29"/>
      <c r="U51" s="29"/>
      <c r="V51" s="29"/>
      <c r="W51" s="29"/>
      <c r="X51" s="29" t="s">
        <v>287</v>
      </c>
      <c r="Y51" s="29" t="s">
        <v>254</v>
      </c>
      <c r="Z51" s="29" t="s">
        <v>96</v>
      </c>
      <c r="AA51" s="29"/>
      <c r="AB51" s="29" t="s">
        <v>104</v>
      </c>
      <c r="AC51" s="29" t="s">
        <v>104</v>
      </c>
      <c r="AD51" s="29"/>
      <c r="AE51" s="40">
        <v>100000</v>
      </c>
      <c r="AF51" s="40">
        <v>100000</v>
      </c>
      <c r="AG51" s="29"/>
      <c r="AH51" s="29" t="s">
        <v>228</v>
      </c>
      <c r="AI51" s="29">
        <v>48100</v>
      </c>
      <c r="AJ51" s="29">
        <v>74000</v>
      </c>
      <c r="AK51" s="29">
        <v>99900</v>
      </c>
      <c r="AL51" s="30" t="s">
        <v>38</v>
      </c>
      <c r="AM51" s="30" t="s">
        <v>38</v>
      </c>
      <c r="AN51" s="29"/>
      <c r="AO51" s="42">
        <v>5000</v>
      </c>
      <c r="AP51" s="29"/>
      <c r="AQ51" s="42">
        <v>30</v>
      </c>
      <c r="AR51" s="29">
        <v>40</v>
      </c>
      <c r="AS51" s="29">
        <v>15</v>
      </c>
      <c r="AT51" s="29"/>
    </row>
    <row r="52" spans="1:46" ht="16.5">
      <c r="A52" s="29">
        <v>172</v>
      </c>
      <c r="B52" s="29">
        <v>172</v>
      </c>
      <c r="C52" s="29" t="s">
        <v>359</v>
      </c>
      <c r="D52" s="29" t="s">
        <v>359</v>
      </c>
      <c r="E52" s="44" t="s">
        <v>291</v>
      </c>
      <c r="F52" s="29" t="s">
        <v>292</v>
      </c>
      <c r="G52" s="29" t="s">
        <v>63</v>
      </c>
      <c r="H52" s="29"/>
      <c r="I52" s="44"/>
      <c r="J52" s="44" t="s">
        <v>214</v>
      </c>
      <c r="K52" s="44"/>
      <c r="L52" s="44" t="s">
        <v>171</v>
      </c>
      <c r="M52" s="39">
        <v>45767</v>
      </c>
      <c r="N52" s="39">
        <v>45767</v>
      </c>
      <c r="O52" s="29">
        <v>168</v>
      </c>
      <c r="P52" s="29">
        <v>168</v>
      </c>
      <c r="Q52" s="29" t="s">
        <v>195</v>
      </c>
      <c r="R52" s="44" t="s">
        <v>357</v>
      </c>
      <c r="S52" s="44" t="s">
        <v>357</v>
      </c>
      <c r="T52" s="29">
        <v>1117</v>
      </c>
      <c r="U52" s="29" t="s">
        <v>329</v>
      </c>
      <c r="V52" s="29">
        <v>80</v>
      </c>
      <c r="W52" s="29" t="s">
        <v>174</v>
      </c>
      <c r="X52" s="29" t="s">
        <v>293</v>
      </c>
      <c r="Y52" s="29" t="s">
        <v>223</v>
      </c>
      <c r="Z52" s="29" t="s">
        <v>96</v>
      </c>
      <c r="AA52" s="29"/>
      <c r="AB52" s="29" t="s">
        <v>101</v>
      </c>
      <c r="AC52" s="29" t="s">
        <v>101</v>
      </c>
      <c r="AD52" s="29" t="s">
        <v>16</v>
      </c>
      <c r="AE52" s="40">
        <v>100000</v>
      </c>
      <c r="AF52" s="40">
        <v>100000</v>
      </c>
      <c r="AG52" s="29">
        <v>4</v>
      </c>
      <c r="AH52" s="29" t="s">
        <v>228</v>
      </c>
      <c r="AI52" s="29">
        <v>29400</v>
      </c>
      <c r="AJ52" s="29">
        <v>42000</v>
      </c>
      <c r="AK52" s="29">
        <v>54600</v>
      </c>
      <c r="AL52" s="30" t="s">
        <v>39</v>
      </c>
      <c r="AM52" s="30" t="s">
        <v>39</v>
      </c>
      <c r="AN52" s="29"/>
      <c r="AO52" s="42">
        <v>5000</v>
      </c>
      <c r="AP52" s="29"/>
      <c r="AQ52" s="42">
        <v>30</v>
      </c>
      <c r="AR52" s="29">
        <v>40</v>
      </c>
      <c r="AS52" s="29">
        <v>15</v>
      </c>
      <c r="AT52" s="29"/>
    </row>
    <row r="53" spans="1:46" ht="16.5">
      <c r="A53" s="29">
        <v>174</v>
      </c>
      <c r="B53" s="29">
        <v>174</v>
      </c>
      <c r="C53" s="29" t="s">
        <v>360</v>
      </c>
      <c r="D53" s="29" t="s">
        <v>360</v>
      </c>
      <c r="E53" s="44" t="s">
        <v>295</v>
      </c>
      <c r="F53" s="29" t="s">
        <v>296</v>
      </c>
      <c r="G53" s="29" t="s">
        <v>361</v>
      </c>
      <c r="H53" s="29"/>
      <c r="I53" s="44"/>
      <c r="J53" s="44" t="s">
        <v>220</v>
      </c>
      <c r="K53" s="44"/>
      <c r="L53" s="44" t="s">
        <v>171</v>
      </c>
      <c r="M53" s="39">
        <v>45767</v>
      </c>
      <c r="N53" s="39">
        <v>45767</v>
      </c>
      <c r="O53" s="29">
        <v>168</v>
      </c>
      <c r="P53" s="29">
        <v>168</v>
      </c>
      <c r="Q53" s="29" t="s">
        <v>183</v>
      </c>
      <c r="R53" s="44" t="s">
        <v>357</v>
      </c>
      <c r="S53" s="44" t="s">
        <v>357</v>
      </c>
      <c r="T53" s="29">
        <v>1117</v>
      </c>
      <c r="U53" s="29" t="s">
        <v>329</v>
      </c>
      <c r="V53" s="29">
        <v>80</v>
      </c>
      <c r="W53" s="29" t="s">
        <v>174</v>
      </c>
      <c r="X53" s="29" t="s">
        <v>297</v>
      </c>
      <c r="Y53" s="29" t="s">
        <v>204</v>
      </c>
      <c r="Z53" s="29" t="s">
        <v>96</v>
      </c>
      <c r="AA53" s="29"/>
      <c r="AB53" s="29" t="s">
        <v>101</v>
      </c>
      <c r="AC53" s="29" t="s">
        <v>101</v>
      </c>
      <c r="AD53" s="29" t="s">
        <v>16</v>
      </c>
      <c r="AE53" s="40">
        <v>100000</v>
      </c>
      <c r="AF53" s="40">
        <v>100000</v>
      </c>
      <c r="AG53" s="29">
        <v>4</v>
      </c>
      <c r="AH53" s="29" t="s">
        <v>228</v>
      </c>
      <c r="AI53" s="29">
        <v>29400</v>
      </c>
      <c r="AJ53" s="29">
        <v>42000</v>
      </c>
      <c r="AK53" s="29">
        <v>54600</v>
      </c>
      <c r="AL53" s="30" t="s">
        <v>40</v>
      </c>
      <c r="AM53" s="30" t="s">
        <v>40</v>
      </c>
      <c r="AN53" s="29"/>
      <c r="AO53" s="42">
        <v>5000</v>
      </c>
      <c r="AP53" s="29"/>
      <c r="AQ53" s="42">
        <v>30</v>
      </c>
      <c r="AR53" s="29">
        <v>40</v>
      </c>
      <c r="AS53" s="29">
        <v>15</v>
      </c>
      <c r="AT53" s="29"/>
    </row>
    <row r="54" spans="1:46" ht="16.5">
      <c r="A54" s="29">
        <v>170</v>
      </c>
      <c r="B54" s="29">
        <v>170</v>
      </c>
      <c r="C54" s="29" t="s">
        <v>362</v>
      </c>
      <c r="D54" s="29" t="s">
        <v>362</v>
      </c>
      <c r="E54" s="44" t="s">
        <v>299</v>
      </c>
      <c r="F54" s="29" t="s">
        <v>300</v>
      </c>
      <c r="G54" s="29" t="b">
        <v>0</v>
      </c>
      <c r="H54" s="29"/>
      <c r="I54" s="44"/>
      <c r="J54" s="44" t="s">
        <v>225</v>
      </c>
      <c r="K54" s="44"/>
      <c r="L54" s="44" t="s">
        <v>171</v>
      </c>
      <c r="M54" s="39">
        <v>45767</v>
      </c>
      <c r="N54" s="39">
        <v>45767</v>
      </c>
      <c r="O54" s="29">
        <v>168</v>
      </c>
      <c r="P54" s="29">
        <v>168</v>
      </c>
      <c r="Q54" s="29" t="s">
        <v>208</v>
      </c>
      <c r="R54" s="44" t="s">
        <v>357</v>
      </c>
      <c r="S54" s="44" t="s">
        <v>357</v>
      </c>
      <c r="T54" s="29">
        <v>1117</v>
      </c>
      <c r="U54" s="29" t="s">
        <v>329</v>
      </c>
      <c r="V54" s="29">
        <v>80</v>
      </c>
      <c r="W54" s="29" t="s">
        <v>174</v>
      </c>
      <c r="X54" s="29" t="s">
        <v>301</v>
      </c>
      <c r="Y54" s="29" t="s">
        <v>198</v>
      </c>
      <c r="Z54" s="29" t="s">
        <v>96</v>
      </c>
      <c r="AA54" s="29"/>
      <c r="AB54" s="29" t="s">
        <v>101</v>
      </c>
      <c r="AC54" s="29" t="s">
        <v>101</v>
      </c>
      <c r="AD54" s="29" t="s">
        <v>16</v>
      </c>
      <c r="AE54" s="40">
        <v>100000</v>
      </c>
      <c r="AF54" s="40">
        <v>100000</v>
      </c>
      <c r="AG54" s="29">
        <v>4</v>
      </c>
      <c r="AH54" s="29" t="s">
        <v>228</v>
      </c>
      <c r="AI54" s="29">
        <v>29400</v>
      </c>
      <c r="AJ54" s="29">
        <v>42000</v>
      </c>
      <c r="AK54" s="29">
        <v>54600</v>
      </c>
      <c r="AL54" s="30" t="s">
        <v>37</v>
      </c>
      <c r="AM54" s="30" t="s">
        <v>37</v>
      </c>
      <c r="AN54" s="29"/>
      <c r="AO54" s="42">
        <v>5000</v>
      </c>
      <c r="AP54" s="29"/>
      <c r="AQ54" s="42">
        <v>30</v>
      </c>
      <c r="AR54" s="29">
        <v>40</v>
      </c>
      <c r="AS54" s="29">
        <v>15</v>
      </c>
      <c r="AT54" s="29"/>
    </row>
    <row r="55" spans="1:46" ht="16.5">
      <c r="A55" s="29">
        <v>177</v>
      </c>
      <c r="B55" s="29">
        <v>177</v>
      </c>
      <c r="C55" s="29" t="s">
        <v>363</v>
      </c>
      <c r="D55" s="29" t="s">
        <v>363</v>
      </c>
      <c r="E55" s="44" t="s">
        <v>303</v>
      </c>
      <c r="F55" s="29" t="s">
        <v>304</v>
      </c>
      <c r="G55" s="29" t="b">
        <v>0</v>
      </c>
      <c r="H55" s="29"/>
      <c r="I55" s="44"/>
      <c r="J55" s="44" t="s">
        <v>232</v>
      </c>
      <c r="K55" s="44"/>
      <c r="L55" s="44" t="s">
        <v>171</v>
      </c>
      <c r="M55" s="39">
        <v>45767</v>
      </c>
      <c r="N55" s="39">
        <v>45767</v>
      </c>
      <c r="O55" s="29">
        <v>168</v>
      </c>
      <c r="P55" s="29">
        <v>168</v>
      </c>
      <c r="Q55" s="29" t="s">
        <v>183</v>
      </c>
      <c r="R55" s="44" t="s">
        <v>357</v>
      </c>
      <c r="S55" s="44" t="s">
        <v>357</v>
      </c>
      <c r="T55" s="29">
        <v>1117</v>
      </c>
      <c r="U55" s="29" t="s">
        <v>329</v>
      </c>
      <c r="V55" s="29">
        <v>80</v>
      </c>
      <c r="W55" s="29" t="s">
        <v>174</v>
      </c>
      <c r="X55" s="29" t="s">
        <v>305</v>
      </c>
      <c r="Y55" s="29" t="s">
        <v>262</v>
      </c>
      <c r="Z55" s="29" t="s">
        <v>96</v>
      </c>
      <c r="AA55" s="29"/>
      <c r="AB55" s="29" t="s">
        <v>104</v>
      </c>
      <c r="AC55" s="29" t="s">
        <v>104</v>
      </c>
      <c r="AD55" s="29" t="s">
        <v>6</v>
      </c>
      <c r="AE55" s="40">
        <v>100000</v>
      </c>
      <c r="AF55" s="40">
        <v>100000</v>
      </c>
      <c r="AG55" s="29">
        <v>4</v>
      </c>
      <c r="AH55" s="29" t="s">
        <v>228</v>
      </c>
      <c r="AI55" s="29">
        <v>48100</v>
      </c>
      <c r="AJ55" s="29">
        <v>74000</v>
      </c>
      <c r="AK55" s="29">
        <v>99900</v>
      </c>
      <c r="AL55" s="30" t="s">
        <v>38</v>
      </c>
      <c r="AM55" s="30" t="s">
        <v>38</v>
      </c>
      <c r="AN55" s="29"/>
      <c r="AO55" s="42">
        <v>5000</v>
      </c>
      <c r="AP55" s="29"/>
      <c r="AQ55" s="42">
        <v>30</v>
      </c>
      <c r="AR55" s="29">
        <v>40</v>
      </c>
      <c r="AS55" s="29">
        <v>15</v>
      </c>
      <c r="AT55" s="29"/>
    </row>
    <row r="56" spans="1:46" ht="33">
      <c r="A56" s="29">
        <v>161</v>
      </c>
      <c r="B56" s="29">
        <v>161</v>
      </c>
      <c r="C56" s="29" t="s">
        <v>364</v>
      </c>
      <c r="D56" s="29" t="s">
        <v>364</v>
      </c>
      <c r="E56" s="44" t="s">
        <v>307</v>
      </c>
      <c r="F56" s="29" t="s">
        <v>308</v>
      </c>
      <c r="G56" s="29" t="b">
        <v>0</v>
      </c>
      <c r="H56" s="29"/>
      <c r="I56" s="44"/>
      <c r="J56" s="44" t="s">
        <v>238</v>
      </c>
      <c r="K56" s="44"/>
      <c r="L56" s="44" t="s">
        <v>171</v>
      </c>
      <c r="M56" s="39">
        <v>45767</v>
      </c>
      <c r="N56" s="39">
        <v>45767</v>
      </c>
      <c r="O56" s="29">
        <v>162</v>
      </c>
      <c r="P56" s="29">
        <v>162</v>
      </c>
      <c r="Q56" s="29" t="s">
        <v>195</v>
      </c>
      <c r="R56" s="44" t="s">
        <v>365</v>
      </c>
      <c r="S56" s="44" t="s">
        <v>365</v>
      </c>
      <c r="T56" s="29">
        <v>1117</v>
      </c>
      <c r="U56" s="29" t="s">
        <v>329</v>
      </c>
      <c r="V56" s="29">
        <v>80</v>
      </c>
      <c r="W56" s="29" t="s">
        <v>174</v>
      </c>
      <c r="X56" s="29" t="s">
        <v>309</v>
      </c>
      <c r="Y56" s="29" t="s">
        <v>262</v>
      </c>
      <c r="Z56" s="29" t="s">
        <v>96</v>
      </c>
      <c r="AA56" s="29"/>
      <c r="AB56" s="29" t="s">
        <v>104</v>
      </c>
      <c r="AC56" s="29" t="s">
        <v>104</v>
      </c>
      <c r="AD56" s="29" t="s">
        <v>6</v>
      </c>
      <c r="AE56" s="40">
        <v>100000</v>
      </c>
      <c r="AF56" s="40">
        <v>100000</v>
      </c>
      <c r="AG56" s="29">
        <v>3</v>
      </c>
      <c r="AH56" s="29" t="s">
        <v>177</v>
      </c>
      <c r="AI56" s="29">
        <v>48100</v>
      </c>
      <c r="AJ56" s="29">
        <v>74000</v>
      </c>
      <c r="AK56" s="29">
        <v>99900</v>
      </c>
      <c r="AL56" s="30" t="s">
        <v>39</v>
      </c>
      <c r="AM56" s="30" t="s">
        <v>39</v>
      </c>
      <c r="AN56" s="29"/>
      <c r="AO56" s="42">
        <v>5000</v>
      </c>
      <c r="AP56" s="29"/>
      <c r="AQ56" s="42">
        <v>30</v>
      </c>
      <c r="AR56" s="29">
        <v>40</v>
      </c>
      <c r="AS56" s="29">
        <v>15</v>
      </c>
      <c r="AT56" s="29"/>
    </row>
    <row r="57" spans="1:46" ht="33">
      <c r="A57" s="29">
        <v>166</v>
      </c>
      <c r="B57" s="29">
        <v>166</v>
      </c>
      <c r="C57" s="29" t="s">
        <v>366</v>
      </c>
      <c r="D57" s="29" t="s">
        <v>366</v>
      </c>
      <c r="E57" s="44" t="s">
        <v>303</v>
      </c>
      <c r="F57" s="29" t="s">
        <v>311</v>
      </c>
      <c r="G57" s="29" t="s">
        <v>367</v>
      </c>
      <c r="H57" s="29"/>
      <c r="I57" s="44"/>
      <c r="J57" s="44" t="s">
        <v>170</v>
      </c>
      <c r="K57" s="44"/>
      <c r="L57" s="44" t="s">
        <v>171</v>
      </c>
      <c r="M57" s="39">
        <v>45767</v>
      </c>
      <c r="N57" s="39">
        <v>45767</v>
      </c>
      <c r="O57" s="29">
        <v>162</v>
      </c>
      <c r="P57" s="29">
        <v>162</v>
      </c>
      <c r="Q57" s="29" t="s">
        <v>195</v>
      </c>
      <c r="R57" s="44" t="s">
        <v>365</v>
      </c>
      <c r="S57" s="44" t="s">
        <v>365</v>
      </c>
      <c r="T57" s="29">
        <v>1117</v>
      </c>
      <c r="U57" s="29" t="s">
        <v>329</v>
      </c>
      <c r="V57" s="29">
        <v>80</v>
      </c>
      <c r="W57" s="29" t="s">
        <v>174</v>
      </c>
      <c r="X57" s="29" t="s">
        <v>313</v>
      </c>
      <c r="Y57" s="29" t="s">
        <v>368</v>
      </c>
      <c r="Z57" s="29" t="s">
        <v>96</v>
      </c>
      <c r="AA57" s="29"/>
      <c r="AB57" s="29" t="s">
        <v>113</v>
      </c>
      <c r="AC57" s="29" t="s">
        <v>113</v>
      </c>
      <c r="AD57" s="29" t="s">
        <v>6</v>
      </c>
      <c r="AE57" s="40">
        <v>100000</v>
      </c>
      <c r="AF57" s="40">
        <v>100000</v>
      </c>
      <c r="AG57" s="29">
        <v>3</v>
      </c>
      <c r="AH57" s="29" t="s">
        <v>177</v>
      </c>
      <c r="AI57" s="29">
        <v>177000</v>
      </c>
      <c r="AJ57" s="29">
        <v>288000</v>
      </c>
      <c r="AK57" s="29">
        <v>391000</v>
      </c>
      <c r="AL57" s="30" t="s">
        <v>40</v>
      </c>
      <c r="AM57" s="30" t="s">
        <v>40</v>
      </c>
      <c r="AN57" s="29"/>
      <c r="AO57" s="42">
        <v>5000</v>
      </c>
      <c r="AP57" s="29"/>
      <c r="AQ57" s="42">
        <v>30</v>
      </c>
      <c r="AR57" s="29">
        <v>40</v>
      </c>
      <c r="AS57" s="29">
        <v>15</v>
      </c>
      <c r="AT57" s="29"/>
    </row>
    <row r="58" spans="1:46" ht="33">
      <c r="A58" s="29">
        <v>1012</v>
      </c>
      <c r="B58" s="29">
        <v>1012</v>
      </c>
      <c r="C58" s="29" t="s">
        <v>369</v>
      </c>
      <c r="D58" s="29" t="s">
        <v>369</v>
      </c>
      <c r="E58" s="44" t="s">
        <v>303</v>
      </c>
      <c r="F58" s="29" t="s">
        <v>316</v>
      </c>
      <c r="G58" s="37" t="s">
        <v>370</v>
      </c>
      <c r="H58" s="43"/>
      <c r="I58" s="45"/>
      <c r="J58" s="44" t="s">
        <v>182</v>
      </c>
      <c r="K58" s="45"/>
      <c r="L58" s="44" t="s">
        <v>171</v>
      </c>
      <c r="M58" s="39">
        <v>45767</v>
      </c>
      <c r="N58" s="39">
        <v>45767</v>
      </c>
      <c r="O58" s="29">
        <v>162</v>
      </c>
      <c r="P58" s="29">
        <v>162</v>
      </c>
      <c r="Q58" s="29" t="s">
        <v>172</v>
      </c>
      <c r="R58" s="44" t="s">
        <v>365</v>
      </c>
      <c r="S58" s="44" t="s">
        <v>365</v>
      </c>
      <c r="T58" s="29">
        <v>1117</v>
      </c>
      <c r="U58" s="29" t="s">
        <v>329</v>
      </c>
      <c r="V58" s="29">
        <v>80</v>
      </c>
      <c r="W58" s="29" t="s">
        <v>174</v>
      </c>
      <c r="X58" s="29" t="s">
        <v>317</v>
      </c>
      <c r="Y58" s="29" t="s">
        <v>371</v>
      </c>
      <c r="Z58" s="29" t="s">
        <v>96</v>
      </c>
      <c r="AA58" s="29"/>
      <c r="AB58" s="29" t="s">
        <v>113</v>
      </c>
      <c r="AC58" s="29" t="s">
        <v>113</v>
      </c>
      <c r="AD58" s="29" t="s">
        <v>6</v>
      </c>
      <c r="AE58" s="40">
        <v>100000</v>
      </c>
      <c r="AF58" s="40">
        <v>100000</v>
      </c>
      <c r="AG58" s="29">
        <v>3</v>
      </c>
      <c r="AH58" s="29" t="s">
        <v>202</v>
      </c>
      <c r="AI58" s="29">
        <v>177000</v>
      </c>
      <c r="AJ58" s="29">
        <v>288000</v>
      </c>
      <c r="AK58" s="29">
        <v>391000</v>
      </c>
      <c r="AL58" s="30" t="s">
        <v>37</v>
      </c>
      <c r="AM58" s="30" t="s">
        <v>37</v>
      </c>
      <c r="AN58" s="29"/>
      <c r="AO58" s="42">
        <v>5000</v>
      </c>
      <c r="AP58" s="29"/>
      <c r="AQ58" s="42">
        <v>30</v>
      </c>
      <c r="AR58" s="29">
        <v>40</v>
      </c>
      <c r="AS58" s="29">
        <v>15</v>
      </c>
      <c r="AT58" s="29"/>
    </row>
    <row r="59" spans="1:46" ht="16.5">
      <c r="A59" s="29">
        <v>1043</v>
      </c>
      <c r="B59" s="29">
        <v>1043</v>
      </c>
      <c r="C59" s="29" t="s">
        <v>372</v>
      </c>
      <c r="D59" s="29" t="s">
        <v>372</v>
      </c>
      <c r="E59" s="44" t="s">
        <v>320</v>
      </c>
      <c r="F59" s="29" t="s">
        <v>321</v>
      </c>
      <c r="G59" s="29">
        <v>9</v>
      </c>
      <c r="H59" s="29"/>
      <c r="I59" s="44"/>
      <c r="J59" s="44" t="s">
        <v>188</v>
      </c>
      <c r="K59" s="44"/>
      <c r="L59" s="44" t="s">
        <v>171</v>
      </c>
      <c r="M59" s="39">
        <v>45767</v>
      </c>
      <c r="N59" s="39">
        <v>45767</v>
      </c>
      <c r="O59" s="29">
        <v>1010</v>
      </c>
      <c r="P59" s="29">
        <v>1010</v>
      </c>
      <c r="Q59" s="29" t="s">
        <v>195</v>
      </c>
      <c r="R59" s="44" t="s">
        <v>373</v>
      </c>
      <c r="S59" s="44" t="s">
        <v>373</v>
      </c>
      <c r="T59" s="29">
        <v>1117</v>
      </c>
      <c r="U59" s="29" t="s">
        <v>329</v>
      </c>
      <c r="V59" s="29">
        <v>80</v>
      </c>
      <c r="W59" s="29" t="s">
        <v>174</v>
      </c>
      <c r="X59" s="29" t="s">
        <v>323</v>
      </c>
      <c r="Y59" s="29" t="s">
        <v>353</v>
      </c>
      <c r="Z59" s="29"/>
      <c r="AA59" t="s">
        <v>121</v>
      </c>
      <c r="AB59" t="s">
        <v>127</v>
      </c>
      <c r="AC59" t="s">
        <v>127</v>
      </c>
      <c r="AD59" t="s">
        <v>16</v>
      </c>
      <c r="AE59" s="40">
        <v>100000</v>
      </c>
      <c r="AF59" s="40">
        <v>100000</v>
      </c>
      <c r="AG59" s="29">
        <v>4</v>
      </c>
      <c r="AH59" s="29" t="s">
        <v>228</v>
      </c>
      <c r="AI59" s="29">
        <v>36200</v>
      </c>
      <c r="AJ59" s="29">
        <v>51600</v>
      </c>
      <c r="AK59" s="29">
        <v>67100</v>
      </c>
      <c r="AL59" s="30" t="s">
        <v>38</v>
      </c>
      <c r="AM59" s="30" t="s">
        <v>38</v>
      </c>
      <c r="AN59" s="29"/>
      <c r="AO59" s="42">
        <v>5000</v>
      </c>
      <c r="AP59" s="29"/>
      <c r="AQ59" s="42">
        <v>30</v>
      </c>
      <c r="AR59" s="29">
        <v>40</v>
      </c>
      <c r="AS59" s="29">
        <v>15</v>
      </c>
      <c r="AT59" s="29"/>
    </row>
    <row r="60" spans="1:46" ht="16.5">
      <c r="A60" s="29">
        <v>1114</v>
      </c>
      <c r="B60" s="29">
        <v>1114</v>
      </c>
      <c r="C60" s="29" t="s">
        <v>374</v>
      </c>
      <c r="D60" s="29" t="s">
        <v>374</v>
      </c>
      <c r="E60" s="44" t="s">
        <v>168</v>
      </c>
      <c r="F60" s="29" t="s">
        <v>169</v>
      </c>
      <c r="G60" s="29">
        <v>8</v>
      </c>
      <c r="H60" s="29"/>
      <c r="I60" s="44"/>
      <c r="J60" s="44" t="s">
        <v>194</v>
      </c>
      <c r="K60" s="44"/>
      <c r="L60" s="44" t="s">
        <v>171</v>
      </c>
      <c r="M60" s="39">
        <v>45767</v>
      </c>
      <c r="N60" s="39">
        <v>45767</v>
      </c>
      <c r="O60" s="29">
        <v>1010</v>
      </c>
      <c r="P60" s="29">
        <v>1010</v>
      </c>
      <c r="Q60" s="29" t="s">
        <v>208</v>
      </c>
      <c r="R60" s="44" t="s">
        <v>373</v>
      </c>
      <c r="S60" s="44" t="s">
        <v>373</v>
      </c>
      <c r="T60" s="29">
        <v>1117</v>
      </c>
      <c r="U60" s="29" t="s">
        <v>329</v>
      </c>
      <c r="V60" s="29">
        <v>80</v>
      </c>
      <c r="W60" s="29" t="s">
        <v>174</v>
      </c>
      <c r="X60" s="29" t="s">
        <v>175</v>
      </c>
      <c r="Y60" s="29" t="s">
        <v>353</v>
      </c>
      <c r="Z60" s="29"/>
      <c r="AA60" t="s">
        <v>119</v>
      </c>
      <c r="AB60" t="s">
        <v>127</v>
      </c>
      <c r="AC60" t="s">
        <v>127</v>
      </c>
      <c r="AD60" t="s">
        <v>11</v>
      </c>
      <c r="AE60" s="40">
        <v>100000</v>
      </c>
      <c r="AF60" s="40">
        <v>100000</v>
      </c>
      <c r="AG60" s="29">
        <v>3</v>
      </c>
      <c r="AH60" s="29" t="s">
        <v>177</v>
      </c>
      <c r="AI60" s="29">
        <v>74400</v>
      </c>
      <c r="AJ60" s="29">
        <v>124000</v>
      </c>
      <c r="AK60" s="29">
        <v>173600</v>
      </c>
      <c r="AL60" s="30" t="s">
        <v>39</v>
      </c>
      <c r="AM60" s="30" t="s">
        <v>39</v>
      </c>
      <c r="AN60" s="29"/>
      <c r="AO60" s="42">
        <v>5000</v>
      </c>
      <c r="AP60" s="29"/>
      <c r="AQ60" s="42">
        <v>30</v>
      </c>
      <c r="AR60" s="29">
        <v>40</v>
      </c>
      <c r="AS60" s="29">
        <v>15</v>
      </c>
      <c r="AT60" s="29"/>
    </row>
    <row r="61" spans="1:46" ht="16.5">
      <c r="A61" s="29">
        <v>2168</v>
      </c>
      <c r="B61" s="29">
        <v>2168</v>
      </c>
      <c r="C61" s="29" t="s">
        <v>375</v>
      </c>
      <c r="D61" s="29" t="s">
        <v>375</v>
      </c>
      <c r="E61" s="44" t="s">
        <v>180</v>
      </c>
      <c r="F61" s="29" t="s">
        <v>181</v>
      </c>
      <c r="G61" s="29" t="s">
        <v>376</v>
      </c>
      <c r="H61" s="29"/>
      <c r="I61" s="44"/>
      <c r="J61" s="44" t="s">
        <v>200</v>
      </c>
      <c r="K61" s="44"/>
      <c r="L61" s="44" t="s">
        <v>171</v>
      </c>
      <c r="M61" s="39">
        <v>45767</v>
      </c>
      <c r="N61" s="39">
        <v>45767</v>
      </c>
      <c r="O61" s="29">
        <v>2166</v>
      </c>
      <c r="P61" s="29">
        <v>2166</v>
      </c>
      <c r="Q61" s="29" t="s">
        <v>183</v>
      </c>
      <c r="R61" s="44" t="s">
        <v>377</v>
      </c>
      <c r="S61" s="44" t="s">
        <v>377</v>
      </c>
      <c r="T61" s="29">
        <v>1117</v>
      </c>
      <c r="U61" s="29" t="s">
        <v>329</v>
      </c>
      <c r="V61" s="29">
        <v>80</v>
      </c>
      <c r="W61" s="29" t="s">
        <v>174</v>
      </c>
      <c r="X61" s="29" t="s">
        <v>184</v>
      </c>
      <c r="Y61" s="29" t="s">
        <v>353</v>
      </c>
      <c r="AA61" t="s">
        <v>117</v>
      </c>
      <c r="AB61" t="s">
        <v>104</v>
      </c>
      <c r="AC61" t="s">
        <v>104</v>
      </c>
      <c r="AD61" t="s">
        <v>13</v>
      </c>
      <c r="AE61" s="40">
        <v>100000</v>
      </c>
      <c r="AF61" s="40">
        <v>100000</v>
      </c>
      <c r="AG61" s="29">
        <v>4</v>
      </c>
      <c r="AH61" s="29" t="s">
        <v>228</v>
      </c>
      <c r="AI61" s="29">
        <v>48100</v>
      </c>
      <c r="AJ61" s="29">
        <v>74000</v>
      </c>
      <c r="AK61" s="29">
        <v>99900</v>
      </c>
      <c r="AL61" s="30" t="s">
        <v>40</v>
      </c>
      <c r="AM61" s="30" t="s">
        <v>40</v>
      </c>
      <c r="AN61" s="29"/>
      <c r="AO61" s="42">
        <v>5000</v>
      </c>
      <c r="AP61" s="29"/>
      <c r="AQ61" s="42">
        <v>30</v>
      </c>
      <c r="AR61" s="29">
        <v>40</v>
      </c>
      <c r="AS61" s="29">
        <v>5.5</v>
      </c>
      <c r="AT61" s="29"/>
    </row>
    <row r="62" spans="1:46" ht="16.5">
      <c r="A62" s="29">
        <v>2167</v>
      </c>
      <c r="B62" s="29">
        <v>2167</v>
      </c>
      <c r="C62" s="29" t="s">
        <v>378</v>
      </c>
      <c r="D62" s="29" t="s">
        <v>378</v>
      </c>
      <c r="E62" s="44" t="s">
        <v>186</v>
      </c>
      <c r="F62" s="29" t="s">
        <v>187</v>
      </c>
      <c r="G62" s="29" t="s">
        <v>379</v>
      </c>
      <c r="H62" s="29"/>
      <c r="I62" s="44"/>
      <c r="J62" s="44" t="s">
        <v>207</v>
      </c>
      <c r="K62" s="44"/>
      <c r="L62" s="44" t="s">
        <v>171</v>
      </c>
      <c r="M62" s="39">
        <v>45767</v>
      </c>
      <c r="N62" s="39">
        <v>45767</v>
      </c>
      <c r="O62" s="29">
        <v>2166</v>
      </c>
      <c r="P62" s="29">
        <v>2166</v>
      </c>
      <c r="Q62" s="29" t="s">
        <v>208</v>
      </c>
      <c r="R62" s="44" t="s">
        <v>377</v>
      </c>
      <c r="S62" s="44" t="s">
        <v>377</v>
      </c>
      <c r="T62" s="29">
        <v>1117</v>
      </c>
      <c r="U62" s="29" t="s">
        <v>329</v>
      </c>
      <c r="V62" s="29">
        <v>80</v>
      </c>
      <c r="W62" s="29" t="s">
        <v>174</v>
      </c>
      <c r="X62" s="29" t="s">
        <v>190</v>
      </c>
      <c r="Y62" s="29" t="s">
        <v>353</v>
      </c>
      <c r="AA62" t="s">
        <v>119</v>
      </c>
      <c r="AB62" t="s">
        <v>104</v>
      </c>
      <c r="AC62" t="s">
        <v>104</v>
      </c>
      <c r="AD62" t="s">
        <v>11</v>
      </c>
      <c r="AE62" s="40">
        <v>100000</v>
      </c>
      <c r="AF62" s="40">
        <v>100000</v>
      </c>
      <c r="AG62" s="29">
        <v>3</v>
      </c>
      <c r="AH62" s="29" t="s">
        <v>177</v>
      </c>
      <c r="AI62" s="29">
        <v>48100</v>
      </c>
      <c r="AJ62" s="29">
        <v>74000</v>
      </c>
      <c r="AK62" s="29">
        <v>99900</v>
      </c>
      <c r="AL62" s="30" t="s">
        <v>37</v>
      </c>
      <c r="AM62" s="30" t="s">
        <v>37</v>
      </c>
      <c r="AN62" s="29"/>
      <c r="AO62" s="42">
        <v>5000</v>
      </c>
      <c r="AP62" s="29"/>
      <c r="AQ62" s="42">
        <v>30</v>
      </c>
      <c r="AR62" s="29">
        <v>40</v>
      </c>
      <c r="AS62" s="29">
        <v>50</v>
      </c>
      <c r="AT62" s="29"/>
    </row>
    <row r="63" spans="1:46" ht="16.5">
      <c r="A63" s="29">
        <v>2000</v>
      </c>
      <c r="B63" s="29">
        <v>2000</v>
      </c>
      <c r="C63" s="29" t="s">
        <v>380</v>
      </c>
      <c r="D63" s="29" t="s">
        <v>380</v>
      </c>
      <c r="E63" s="44" t="s">
        <v>192</v>
      </c>
      <c r="F63" s="29" t="s">
        <v>193</v>
      </c>
      <c r="G63" s="29" t="s">
        <v>226</v>
      </c>
      <c r="H63" s="29"/>
      <c r="I63" s="44"/>
      <c r="J63" s="44" t="s">
        <v>214</v>
      </c>
      <c r="K63" s="44"/>
      <c r="L63" s="44" t="s">
        <v>171</v>
      </c>
      <c r="M63" s="39">
        <v>45767</v>
      </c>
      <c r="N63" s="39">
        <v>45767</v>
      </c>
      <c r="O63" s="29">
        <v>2166</v>
      </c>
      <c r="P63" s="29">
        <v>2166</v>
      </c>
      <c r="Q63" s="29" t="s">
        <v>208</v>
      </c>
      <c r="R63" s="44" t="s">
        <v>377</v>
      </c>
      <c r="S63" s="44" t="s">
        <v>377</v>
      </c>
      <c r="T63" s="29">
        <v>1117</v>
      </c>
      <c r="U63" s="29" t="s">
        <v>329</v>
      </c>
      <c r="V63" s="29">
        <v>80</v>
      </c>
      <c r="W63" s="29" t="s">
        <v>174</v>
      </c>
      <c r="X63" s="29" t="s">
        <v>196</v>
      </c>
      <c r="Y63" s="29" t="s">
        <v>274</v>
      </c>
      <c r="AA63" t="s">
        <v>121</v>
      </c>
      <c r="AB63" t="s">
        <v>104</v>
      </c>
      <c r="AC63" t="s">
        <v>104</v>
      </c>
      <c r="AD63" t="s">
        <v>16</v>
      </c>
      <c r="AE63" s="40">
        <v>100000</v>
      </c>
      <c r="AF63" s="40">
        <v>100000</v>
      </c>
      <c r="AG63" s="29">
        <v>5</v>
      </c>
      <c r="AH63" s="29" t="s">
        <v>234</v>
      </c>
      <c r="AI63" s="29">
        <v>48100</v>
      </c>
      <c r="AJ63" s="29">
        <v>74000</v>
      </c>
      <c r="AK63" s="29">
        <v>99900</v>
      </c>
      <c r="AL63" s="30" t="s">
        <v>38</v>
      </c>
      <c r="AM63" s="30" t="s">
        <v>38</v>
      </c>
      <c r="AN63" s="29"/>
      <c r="AO63" s="42">
        <v>5000</v>
      </c>
      <c r="AP63" s="29"/>
      <c r="AQ63" s="42">
        <v>30</v>
      </c>
      <c r="AR63" s="29">
        <v>40</v>
      </c>
      <c r="AS63" s="29">
        <v>5.5</v>
      </c>
      <c r="AT63" s="29"/>
    </row>
    <row r="64" spans="1:46" ht="16.5">
      <c r="A64" s="29">
        <v>2001</v>
      </c>
      <c r="B64" s="29">
        <v>2001</v>
      </c>
      <c r="C64" s="29" t="s">
        <v>381</v>
      </c>
      <c r="D64" s="29" t="s">
        <v>381</v>
      </c>
      <c r="E64" s="44" t="s">
        <v>198</v>
      </c>
      <c r="F64" s="29" t="s">
        <v>199</v>
      </c>
      <c r="G64" s="29"/>
      <c r="H64" s="29"/>
      <c r="I64" s="44"/>
      <c r="J64" s="44" t="s">
        <v>220</v>
      </c>
      <c r="K64" s="44"/>
      <c r="L64" s="44" t="s">
        <v>171</v>
      </c>
      <c r="M64" s="39">
        <v>45767</v>
      </c>
      <c r="N64" s="39">
        <v>45767</v>
      </c>
      <c r="O64" s="29">
        <v>2166</v>
      </c>
      <c r="P64" s="29">
        <v>2166</v>
      </c>
      <c r="Q64" s="29" t="s">
        <v>183</v>
      </c>
      <c r="R64" s="44" t="s">
        <v>377</v>
      </c>
      <c r="S64" s="44" t="s">
        <v>377</v>
      </c>
      <c r="T64" s="29">
        <v>1117</v>
      </c>
      <c r="U64" s="29" t="s">
        <v>329</v>
      </c>
      <c r="V64" s="29">
        <v>80</v>
      </c>
      <c r="W64" s="29" t="s">
        <v>174</v>
      </c>
      <c r="X64" s="29" t="s">
        <v>201</v>
      </c>
      <c r="Y64" s="29" t="s">
        <v>266</v>
      </c>
      <c r="AA64" t="s">
        <v>123</v>
      </c>
      <c r="AB64" t="s">
        <v>104</v>
      </c>
      <c r="AC64" t="s">
        <v>104</v>
      </c>
      <c r="AD64" t="s">
        <v>19</v>
      </c>
      <c r="AE64" s="40">
        <v>100000</v>
      </c>
      <c r="AF64" s="40">
        <v>100000</v>
      </c>
      <c r="AG64" s="29">
        <v>4</v>
      </c>
      <c r="AH64" s="29" t="s">
        <v>228</v>
      </c>
      <c r="AI64" s="29">
        <v>48100</v>
      </c>
      <c r="AJ64" s="29">
        <v>74000</v>
      </c>
      <c r="AK64" s="29">
        <v>99900</v>
      </c>
      <c r="AL64" s="30" t="s">
        <v>39</v>
      </c>
      <c r="AM64" s="30" t="s">
        <v>39</v>
      </c>
      <c r="AN64" s="29"/>
      <c r="AO64" s="42">
        <v>5000</v>
      </c>
      <c r="AP64" s="29"/>
      <c r="AQ64" s="42">
        <v>30</v>
      </c>
      <c r="AR64" s="29">
        <v>40</v>
      </c>
      <c r="AS64" s="29">
        <v>0</v>
      </c>
      <c r="AT64" s="29"/>
    </row>
    <row r="65" spans="1:46" ht="33">
      <c r="A65" s="38">
        <v>2166</v>
      </c>
      <c r="B65" s="38">
        <v>2166</v>
      </c>
      <c r="C65" s="38" t="s">
        <v>382</v>
      </c>
      <c r="D65" s="38" t="s">
        <v>382</v>
      </c>
      <c r="E65" s="44" t="s">
        <v>204</v>
      </c>
      <c r="F65" s="29" t="s">
        <v>205</v>
      </c>
      <c r="G65" s="29" t="b">
        <v>0</v>
      </c>
      <c r="H65" s="29"/>
      <c r="I65" s="44"/>
      <c r="J65" s="44" t="s">
        <v>225</v>
      </c>
      <c r="K65" s="44"/>
      <c r="L65" s="44" t="s">
        <v>171</v>
      </c>
      <c r="M65" s="39">
        <v>45767</v>
      </c>
      <c r="N65" s="39">
        <v>45767</v>
      </c>
      <c r="O65" s="29">
        <v>162</v>
      </c>
      <c r="P65" s="29">
        <v>162</v>
      </c>
      <c r="Q65" s="29" t="s">
        <v>208</v>
      </c>
      <c r="R65" s="44" t="s">
        <v>365</v>
      </c>
      <c r="S65" s="44" t="s">
        <v>365</v>
      </c>
      <c r="T65" s="29">
        <v>1117</v>
      </c>
      <c r="U65" s="29" t="s">
        <v>329</v>
      </c>
      <c r="V65" s="29">
        <v>80</v>
      </c>
      <c r="W65" s="29" t="s">
        <v>174</v>
      </c>
      <c r="X65" s="29" t="s">
        <v>209</v>
      </c>
      <c r="Y65" s="29" t="s">
        <v>383</v>
      </c>
      <c r="AA65" t="s">
        <v>125</v>
      </c>
      <c r="AB65" t="s">
        <v>104</v>
      </c>
      <c r="AC65" t="s">
        <v>104</v>
      </c>
      <c r="AD65" t="s">
        <v>22</v>
      </c>
      <c r="AE65" s="40">
        <v>100000</v>
      </c>
      <c r="AF65" s="40">
        <v>100000</v>
      </c>
      <c r="AG65" s="29">
        <v>4</v>
      </c>
      <c r="AH65" s="29" t="s">
        <v>228</v>
      </c>
      <c r="AI65" s="29">
        <v>42700</v>
      </c>
      <c r="AJ65" s="29">
        <v>61000</v>
      </c>
      <c r="AK65" s="29">
        <v>79300</v>
      </c>
      <c r="AL65" s="30" t="s">
        <v>40</v>
      </c>
      <c r="AM65" s="30" t="s">
        <v>40</v>
      </c>
      <c r="AN65" s="29"/>
      <c r="AO65" s="42">
        <v>5000</v>
      </c>
      <c r="AP65" s="29"/>
      <c r="AQ65" s="42">
        <v>30</v>
      </c>
      <c r="AR65" s="29">
        <v>40</v>
      </c>
      <c r="AS65" s="29">
        <v>20</v>
      </c>
      <c r="AT65" s="29"/>
    </row>
    <row r="66" spans="1:46" ht="33">
      <c r="A66">
        <v>2404</v>
      </c>
      <c r="B66">
        <v>2404</v>
      </c>
      <c r="C66" t="s">
        <v>384</v>
      </c>
      <c r="D66" t="s">
        <v>384</v>
      </c>
      <c r="E66" s="44" t="s">
        <v>211</v>
      </c>
      <c r="F66" s="29" t="s">
        <v>212</v>
      </c>
      <c r="G66" s="29" t="b">
        <v>0</v>
      </c>
      <c r="H66" s="29"/>
      <c r="I66" s="44"/>
      <c r="J66" s="44" t="s">
        <v>232</v>
      </c>
      <c r="K66" s="44"/>
      <c r="L66" s="44" t="s">
        <v>171</v>
      </c>
      <c r="M66" s="39">
        <v>45767</v>
      </c>
      <c r="N66" s="39">
        <v>45767</v>
      </c>
      <c r="O66" s="29">
        <v>162</v>
      </c>
      <c r="P66" s="29">
        <v>162</v>
      </c>
      <c r="Q66" s="29" t="s">
        <v>208</v>
      </c>
      <c r="R66" s="44" t="s">
        <v>365</v>
      </c>
      <c r="S66" s="44" t="s">
        <v>365</v>
      </c>
      <c r="T66" s="29">
        <v>1117</v>
      </c>
      <c r="U66" s="29" t="s">
        <v>329</v>
      </c>
      <c r="V66" s="29">
        <v>80</v>
      </c>
      <c r="W66" s="29" t="s">
        <v>174</v>
      </c>
      <c r="X66" s="29" t="s">
        <v>215</v>
      </c>
      <c r="Y66" s="29" t="s">
        <v>383</v>
      </c>
      <c r="AA66" t="s">
        <v>125</v>
      </c>
      <c r="AB66" t="s">
        <v>104</v>
      </c>
      <c r="AC66" t="s">
        <v>104</v>
      </c>
      <c r="AD66" t="s">
        <v>22</v>
      </c>
      <c r="AE66" s="40">
        <v>100000</v>
      </c>
      <c r="AF66" s="40">
        <v>100000</v>
      </c>
      <c r="AG66" s="29">
        <v>4</v>
      </c>
      <c r="AH66" s="29" t="s">
        <v>228</v>
      </c>
      <c r="AI66" s="29">
        <v>42700</v>
      </c>
      <c r="AJ66" s="29">
        <v>61000</v>
      </c>
      <c r="AK66" s="29">
        <v>79300</v>
      </c>
      <c r="AL66" s="30" t="s">
        <v>40</v>
      </c>
      <c r="AM66" s="30" t="s">
        <v>40</v>
      </c>
      <c r="AN66" s="29"/>
      <c r="AO66" s="42">
        <v>5000</v>
      </c>
      <c r="AP66" s="29"/>
      <c r="AQ66" s="42">
        <v>30</v>
      </c>
      <c r="AR66" s="29">
        <v>40</v>
      </c>
      <c r="AS66" s="29">
        <v>20</v>
      </c>
    </row>
    <row r="67" spans="1:46">
      <c r="E67" s="44"/>
      <c r="F67" s="44"/>
      <c r="J67" s="44"/>
      <c r="AL67" s="1"/>
    </row>
    <row r="68" spans="1:46">
      <c r="E68" s="44"/>
      <c r="F68" s="44"/>
      <c r="AL68" s="1"/>
    </row>
    <row r="69" spans="1:46">
      <c r="E69" s="44"/>
      <c r="F69" s="44"/>
      <c r="AL69" s="1"/>
    </row>
    <row r="70" spans="1:46">
      <c r="E70" s="44"/>
      <c r="F70" s="44"/>
      <c r="AL70" s="1"/>
    </row>
    <row r="71" spans="1:46">
      <c r="E71" s="44"/>
      <c r="F71" s="44"/>
      <c r="AL71" s="1"/>
    </row>
    <row r="72" spans="1:46">
      <c r="E72" s="44"/>
      <c r="F72" s="44"/>
      <c r="AL72" s="1"/>
    </row>
    <row r="73" spans="1:46">
      <c r="E73" s="44"/>
      <c r="F73" s="44"/>
      <c r="AL73" s="1"/>
    </row>
    <row r="74" spans="1:46">
      <c r="E74" s="44"/>
      <c r="F74" s="44"/>
      <c r="AL74" s="1"/>
    </row>
    <row r="75" spans="1:46">
      <c r="E75" s="44"/>
      <c r="F75" s="44"/>
      <c r="AL75" s="1"/>
    </row>
    <row r="76" spans="1:46">
      <c r="E76" s="44"/>
      <c r="F76" s="44"/>
      <c r="AL76" s="1"/>
    </row>
    <row r="77" spans="1:46">
      <c r="E77" s="44"/>
      <c r="F77" s="44"/>
      <c r="AL77" s="1"/>
    </row>
    <row r="78" spans="1:46">
      <c r="E78" s="44"/>
      <c r="F78" s="44"/>
      <c r="AL78" s="1"/>
    </row>
    <row r="79" spans="1:46">
      <c r="E79" s="44"/>
      <c r="F79" s="44"/>
      <c r="AL79" s="1"/>
    </row>
    <row r="80" spans="1:46">
      <c r="E80" s="44"/>
      <c r="F80" s="44"/>
      <c r="AL80" s="1"/>
    </row>
    <row r="81" spans="5:38">
      <c r="E81" s="44"/>
      <c r="F81" s="44"/>
      <c r="AL81" s="1"/>
    </row>
    <row r="82" spans="5:38">
      <c r="E82" s="44"/>
      <c r="F82" s="44"/>
      <c r="AL82" s="1"/>
    </row>
    <row r="83" spans="5:38">
      <c r="E83" s="44"/>
      <c r="F83" s="44"/>
      <c r="AL83" s="1"/>
    </row>
    <row r="84" spans="5:38">
      <c r="E84" s="44"/>
      <c r="F84" s="44"/>
      <c r="AL84" s="1"/>
    </row>
    <row r="85" spans="5:38">
      <c r="E85" s="44"/>
      <c r="F85" s="44"/>
      <c r="AL85" s="1"/>
    </row>
  </sheetData>
  <autoFilter ref="A1:AQ65" xr:uid="{00000000-0001-0000-0300-000000000000}"/>
  <phoneticPr fontId="4" type="noConversion"/>
  <hyperlinks>
    <hyperlink ref="G58" r:id="rId1" xr:uid="{8047CCA4-74A7-4DF9-865A-E31164883DD6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97BA-D29D-430F-B7E6-B698584CE9E5}">
  <dimension ref="A1:AF70"/>
  <sheetViews>
    <sheetView workbookViewId="0">
      <pane ySplit="1" topLeftCell="R45" activePane="bottomLeft" state="frozen"/>
      <selection pane="bottomLeft" activeCell="A58" sqref="A58:XFD58"/>
    </sheetView>
  </sheetViews>
  <sheetFormatPr defaultRowHeight="15" customHeight="1"/>
  <cols>
    <col min="1" max="1" width="11.5703125" bestFit="1" customWidth="1"/>
    <col min="2" max="2" width="14" customWidth="1"/>
    <col min="3" max="3" width="18.140625" bestFit="1" customWidth="1"/>
    <col min="4" max="4" width="14.42578125" customWidth="1"/>
    <col min="5" max="5" width="18.140625" bestFit="1" customWidth="1"/>
    <col min="6" max="6" width="18.140625" customWidth="1"/>
    <col min="7" max="7" width="15.42578125" customWidth="1"/>
    <col min="8" max="8" width="28.7109375" customWidth="1"/>
    <col min="9" max="9" width="15.42578125" customWidth="1"/>
    <col min="10" max="11" width="28.7109375" customWidth="1"/>
    <col min="12" max="14" width="21.7109375" customWidth="1"/>
    <col min="15" max="15" width="18.42578125" style="12" customWidth="1"/>
    <col min="16" max="16" width="16.7109375" style="12" customWidth="1"/>
    <col min="17" max="17" width="36.140625" style="12" customWidth="1"/>
    <col min="18" max="18" width="21.7109375" style="12" customWidth="1"/>
    <col min="19" max="19" width="19.42578125" style="12" customWidth="1"/>
    <col min="20" max="20" width="19.7109375" customWidth="1"/>
    <col min="21" max="22" width="21.28515625" customWidth="1"/>
    <col min="23" max="23" width="19.28515625" bestFit="1" customWidth="1"/>
    <col min="24" max="26" width="21.42578125" customWidth="1"/>
    <col min="27" max="27" width="24.5703125" bestFit="1" customWidth="1"/>
    <col min="28" max="28" width="21.85546875" customWidth="1"/>
    <col min="29" max="29" width="19.140625" customWidth="1"/>
    <col min="30" max="30" width="24.140625" customWidth="1"/>
    <col min="31" max="31" width="22.140625" bestFit="1" customWidth="1"/>
  </cols>
  <sheetData>
    <row r="1" spans="1:32" ht="33">
      <c r="A1" s="29" t="s">
        <v>128</v>
      </c>
      <c r="B1" s="29" t="s">
        <v>129</v>
      </c>
      <c r="C1" s="29" t="s">
        <v>130</v>
      </c>
      <c r="D1" s="44" t="s">
        <v>385</v>
      </c>
      <c r="E1" s="29" t="s">
        <v>131</v>
      </c>
      <c r="F1" s="44" t="s">
        <v>386</v>
      </c>
      <c r="G1" s="29" t="s">
        <v>141</v>
      </c>
      <c r="H1" s="29" t="s">
        <v>144</v>
      </c>
      <c r="I1" s="44" t="s">
        <v>387</v>
      </c>
      <c r="J1" s="29" t="s">
        <v>388</v>
      </c>
      <c r="K1" s="29" t="s">
        <v>389</v>
      </c>
      <c r="L1" s="29" t="s">
        <v>390</v>
      </c>
      <c r="M1" s="29" t="s">
        <v>391</v>
      </c>
      <c r="N1" s="29" t="s">
        <v>392</v>
      </c>
      <c r="O1" s="36" t="s">
        <v>0</v>
      </c>
      <c r="P1" s="44" t="s">
        <v>393</v>
      </c>
      <c r="Q1" s="29" t="s">
        <v>394</v>
      </c>
      <c r="S1" s="29" t="s">
        <v>395</v>
      </c>
      <c r="T1" s="36" t="s">
        <v>396</v>
      </c>
      <c r="U1" s="36" t="s">
        <v>397</v>
      </c>
      <c r="V1" s="36" t="s">
        <v>398</v>
      </c>
      <c r="W1" s="36" t="s">
        <v>399</v>
      </c>
      <c r="X1" s="29" t="s">
        <v>400</v>
      </c>
      <c r="Y1" s="49" t="s">
        <v>401</v>
      </c>
      <c r="Z1" s="49" t="s">
        <v>402</v>
      </c>
      <c r="AA1" s="36" t="s">
        <v>403</v>
      </c>
      <c r="AB1" s="36" t="s">
        <v>404</v>
      </c>
      <c r="AC1" s="29" t="s">
        <v>405</v>
      </c>
      <c r="AD1" s="29" t="s">
        <v>406</v>
      </c>
      <c r="AE1" s="29" t="s">
        <v>132</v>
      </c>
      <c r="AF1" s="29"/>
    </row>
    <row r="2" spans="1:32" ht="16.5">
      <c r="A2" s="29">
        <v>2009</v>
      </c>
      <c r="B2" s="29">
        <v>2009</v>
      </c>
      <c r="C2" s="29" t="s">
        <v>167</v>
      </c>
      <c r="D2" s="44" t="s">
        <v>407</v>
      </c>
      <c r="E2" s="29" t="s">
        <v>167</v>
      </c>
      <c r="F2" s="41">
        <v>1</v>
      </c>
      <c r="G2" s="29">
        <v>72</v>
      </c>
      <c r="H2" s="29" t="s">
        <v>319</v>
      </c>
      <c r="I2" s="44"/>
      <c r="J2" s="29"/>
      <c r="K2" s="42">
        <v>100000</v>
      </c>
      <c r="L2" s="42">
        <v>100000</v>
      </c>
      <c r="M2" s="42">
        <v>100000</v>
      </c>
      <c r="N2" s="42">
        <v>100000</v>
      </c>
      <c r="O2" s="36" t="s">
        <v>22</v>
      </c>
      <c r="P2" s="39">
        <v>45767</v>
      </c>
      <c r="Q2" s="39">
        <v>46022</v>
      </c>
      <c r="S2" s="41">
        <v>1</v>
      </c>
      <c r="T2" s="46">
        <v>0.2</v>
      </c>
      <c r="U2" s="46">
        <v>0.2</v>
      </c>
      <c r="V2" s="46">
        <v>0.2</v>
      </c>
      <c r="W2" s="47">
        <v>40000</v>
      </c>
      <c r="X2" s="29"/>
      <c r="Y2" s="49">
        <v>15000</v>
      </c>
      <c r="Z2" s="50">
        <v>30000</v>
      </c>
      <c r="AA2" s="47">
        <v>45000</v>
      </c>
      <c r="AB2" s="47">
        <v>5000</v>
      </c>
      <c r="AC2" s="29" t="s">
        <v>248</v>
      </c>
      <c r="AD2" s="29">
        <v>10</v>
      </c>
      <c r="AE2" s="29" t="s">
        <v>408</v>
      </c>
      <c r="AF2" s="29"/>
    </row>
    <row r="3" spans="1:32" ht="16.5">
      <c r="A3" s="38">
        <v>2004</v>
      </c>
      <c r="B3" s="38">
        <v>2004</v>
      </c>
      <c r="C3" s="38" t="s">
        <v>409</v>
      </c>
      <c r="D3" s="44" t="s">
        <v>407</v>
      </c>
      <c r="E3" s="38" t="s">
        <v>409</v>
      </c>
      <c r="F3" s="41">
        <v>1</v>
      </c>
      <c r="G3" s="29">
        <v>72</v>
      </c>
      <c r="H3" s="29" t="s">
        <v>319</v>
      </c>
      <c r="I3" s="44"/>
      <c r="J3" s="29"/>
      <c r="K3" s="42">
        <v>100000</v>
      </c>
      <c r="L3" s="42">
        <v>100000</v>
      </c>
      <c r="M3" s="42">
        <v>100000</v>
      </c>
      <c r="N3" s="42">
        <v>100000</v>
      </c>
      <c r="O3" s="36" t="s">
        <v>22</v>
      </c>
      <c r="P3" s="39">
        <v>45767</v>
      </c>
      <c r="Q3" s="39">
        <v>46022</v>
      </c>
      <c r="S3" s="41">
        <v>1</v>
      </c>
      <c r="T3" s="46">
        <v>0.2</v>
      </c>
      <c r="U3" s="46">
        <v>0.2</v>
      </c>
      <c r="V3" s="46">
        <v>0.2</v>
      </c>
      <c r="W3" s="47">
        <v>40000</v>
      </c>
      <c r="X3" s="42">
        <v>15000</v>
      </c>
      <c r="Y3" s="49">
        <v>15000</v>
      </c>
      <c r="Z3" s="50">
        <v>30000</v>
      </c>
      <c r="AA3" s="47">
        <v>45000</v>
      </c>
      <c r="AB3" s="47">
        <v>5000</v>
      </c>
      <c r="AC3" s="29" t="s">
        <v>248</v>
      </c>
      <c r="AD3" s="29">
        <v>11</v>
      </c>
      <c r="AE3" s="29" t="s">
        <v>408</v>
      </c>
      <c r="AF3" s="29"/>
    </row>
    <row r="4" spans="1:32" ht="16.5">
      <c r="A4" s="38">
        <v>2002</v>
      </c>
      <c r="B4" s="38">
        <v>2002</v>
      </c>
      <c r="C4" s="38" t="s">
        <v>185</v>
      </c>
      <c r="D4" s="44" t="s">
        <v>407</v>
      </c>
      <c r="E4" s="38" t="s">
        <v>185</v>
      </c>
      <c r="F4" s="41">
        <v>1</v>
      </c>
      <c r="G4" s="29">
        <v>72</v>
      </c>
      <c r="H4" s="29" t="s">
        <v>319</v>
      </c>
      <c r="I4" s="44"/>
      <c r="J4" s="29"/>
      <c r="K4" s="42">
        <v>100000</v>
      </c>
      <c r="L4" s="42">
        <v>100000</v>
      </c>
      <c r="M4" s="42">
        <v>100000</v>
      </c>
      <c r="N4" s="42">
        <v>100000</v>
      </c>
      <c r="O4" s="36" t="s">
        <v>22</v>
      </c>
      <c r="P4" s="39">
        <v>45767</v>
      </c>
      <c r="Q4" s="39">
        <v>46022</v>
      </c>
      <c r="S4" s="41">
        <v>1</v>
      </c>
      <c r="T4" s="46">
        <v>0.2</v>
      </c>
      <c r="U4" s="46">
        <v>0.2</v>
      </c>
      <c r="V4" s="46">
        <v>0.2</v>
      </c>
      <c r="W4" s="47">
        <v>40000</v>
      </c>
      <c r="X4" s="29"/>
      <c r="Y4" s="49">
        <v>15000</v>
      </c>
      <c r="Z4" s="50">
        <v>30000</v>
      </c>
      <c r="AA4" s="47">
        <v>45000</v>
      </c>
      <c r="AB4" s="47">
        <v>5000</v>
      </c>
      <c r="AC4" s="29" t="s">
        <v>248</v>
      </c>
      <c r="AD4" s="29">
        <v>12</v>
      </c>
      <c r="AE4" s="29" t="s">
        <v>408</v>
      </c>
      <c r="AF4" s="29"/>
    </row>
    <row r="5" spans="1:32" ht="16.5">
      <c r="A5" s="29">
        <v>2008</v>
      </c>
      <c r="B5" s="29">
        <v>2008</v>
      </c>
      <c r="C5" s="29" t="s">
        <v>410</v>
      </c>
      <c r="D5" s="44" t="s">
        <v>407</v>
      </c>
      <c r="E5" s="29" t="s">
        <v>410</v>
      </c>
      <c r="F5" s="41">
        <v>1</v>
      </c>
      <c r="G5" s="29">
        <v>72</v>
      </c>
      <c r="H5" s="29" t="s">
        <v>319</v>
      </c>
      <c r="I5" s="44"/>
      <c r="J5" s="29"/>
      <c r="K5" s="42">
        <v>100000</v>
      </c>
      <c r="L5" s="42">
        <v>100000</v>
      </c>
      <c r="M5" s="42">
        <v>100000</v>
      </c>
      <c r="N5" s="42">
        <v>100000</v>
      </c>
      <c r="O5" s="36" t="s">
        <v>22</v>
      </c>
      <c r="P5" s="39">
        <v>45767</v>
      </c>
      <c r="Q5" s="39">
        <v>46022</v>
      </c>
      <c r="S5" s="41">
        <v>1</v>
      </c>
      <c r="T5" s="46">
        <v>0.2</v>
      </c>
      <c r="U5" s="46">
        <v>0.2</v>
      </c>
      <c r="V5" s="46">
        <v>0.2</v>
      </c>
      <c r="W5" s="47">
        <v>40000</v>
      </c>
      <c r="X5" s="29"/>
      <c r="Y5" s="49">
        <v>15000</v>
      </c>
      <c r="Z5" s="50">
        <v>30000</v>
      </c>
      <c r="AA5" s="47">
        <v>45000</v>
      </c>
      <c r="AB5" s="47">
        <v>5000</v>
      </c>
      <c r="AC5" s="29" t="s">
        <v>248</v>
      </c>
      <c r="AD5" s="29">
        <v>13</v>
      </c>
      <c r="AE5" s="29" t="s">
        <v>408</v>
      </c>
      <c r="AF5" s="29"/>
    </row>
    <row r="6" spans="1:32" ht="16.5">
      <c r="A6" s="29">
        <v>2005</v>
      </c>
      <c r="B6" s="29">
        <v>2005</v>
      </c>
      <c r="C6" s="29" t="s">
        <v>411</v>
      </c>
      <c r="D6" s="44" t="s">
        <v>407</v>
      </c>
      <c r="E6" s="29" t="s">
        <v>411</v>
      </c>
      <c r="F6" s="41">
        <v>1</v>
      </c>
      <c r="G6" s="29">
        <v>72</v>
      </c>
      <c r="H6" s="29" t="s">
        <v>319</v>
      </c>
      <c r="I6" s="44"/>
      <c r="J6" s="29"/>
      <c r="K6" s="42">
        <v>100000</v>
      </c>
      <c r="L6" s="42">
        <v>100000</v>
      </c>
      <c r="M6" s="42">
        <v>100000</v>
      </c>
      <c r="N6" s="42">
        <v>100000</v>
      </c>
      <c r="O6" s="36" t="s">
        <v>22</v>
      </c>
      <c r="P6" s="39">
        <v>45767</v>
      </c>
      <c r="Q6" s="39">
        <v>46022</v>
      </c>
      <c r="S6" s="41">
        <v>1</v>
      </c>
      <c r="T6" s="46">
        <v>0.2</v>
      </c>
      <c r="U6" s="46">
        <v>0.2</v>
      </c>
      <c r="V6" s="46">
        <v>0.2</v>
      </c>
      <c r="W6" s="47">
        <v>40000</v>
      </c>
      <c r="X6" s="29"/>
      <c r="Y6" s="49">
        <v>15000</v>
      </c>
      <c r="Z6" s="50">
        <v>30000</v>
      </c>
      <c r="AA6" s="47">
        <v>45000</v>
      </c>
      <c r="AB6" s="47">
        <v>5000</v>
      </c>
      <c r="AC6" s="29" t="s">
        <v>248</v>
      </c>
      <c r="AD6" s="29">
        <v>14</v>
      </c>
      <c r="AE6" s="29" t="s">
        <v>408</v>
      </c>
      <c r="AF6" s="29"/>
    </row>
    <row r="7" spans="1:32" ht="16.5">
      <c r="A7" s="29">
        <v>2010</v>
      </c>
      <c r="B7" s="29">
        <v>2010</v>
      </c>
      <c r="C7" s="29" t="s">
        <v>203</v>
      </c>
      <c r="D7" s="44" t="s">
        <v>407</v>
      </c>
      <c r="E7" s="29" t="s">
        <v>203</v>
      </c>
      <c r="F7" s="41">
        <v>1</v>
      </c>
      <c r="G7" s="29">
        <v>72</v>
      </c>
      <c r="H7" s="29" t="s">
        <v>319</v>
      </c>
      <c r="I7" s="44"/>
      <c r="J7" s="29"/>
      <c r="K7" s="42">
        <v>100000</v>
      </c>
      <c r="L7" s="42">
        <v>100000</v>
      </c>
      <c r="M7" s="42">
        <v>100000</v>
      </c>
      <c r="N7" s="42">
        <v>100000</v>
      </c>
      <c r="O7" s="36" t="s">
        <v>22</v>
      </c>
      <c r="P7" s="39">
        <v>45767</v>
      </c>
      <c r="Q7" s="39">
        <v>46022</v>
      </c>
      <c r="S7" s="41">
        <v>1</v>
      </c>
      <c r="T7" s="46">
        <v>0.2</v>
      </c>
      <c r="U7" s="46">
        <v>0.2</v>
      </c>
      <c r="V7" s="46">
        <v>0.2</v>
      </c>
      <c r="W7" s="47">
        <v>40000</v>
      </c>
      <c r="X7" s="29"/>
      <c r="Y7" s="49">
        <v>15000</v>
      </c>
      <c r="Z7" s="50">
        <v>30000</v>
      </c>
      <c r="AA7" s="47">
        <v>45000</v>
      </c>
      <c r="AB7" s="47">
        <v>5000</v>
      </c>
      <c r="AC7" s="29" t="s">
        <v>248</v>
      </c>
      <c r="AD7" s="29">
        <v>15</v>
      </c>
      <c r="AE7" s="29" t="s">
        <v>408</v>
      </c>
      <c r="AF7" s="29"/>
    </row>
    <row r="8" spans="1:32" ht="16.5">
      <c r="A8" s="29">
        <v>2007</v>
      </c>
      <c r="B8" s="29">
        <v>2007</v>
      </c>
      <c r="C8" s="29" t="s">
        <v>210</v>
      </c>
      <c r="D8" s="44" t="s">
        <v>407</v>
      </c>
      <c r="E8" s="29" t="s">
        <v>210</v>
      </c>
      <c r="F8" s="41">
        <v>1</v>
      </c>
      <c r="G8" s="29">
        <v>72</v>
      </c>
      <c r="H8" s="29" t="s">
        <v>319</v>
      </c>
      <c r="I8" s="44"/>
      <c r="J8" s="29"/>
      <c r="K8" s="42">
        <v>100000</v>
      </c>
      <c r="L8" s="42">
        <v>100000</v>
      </c>
      <c r="M8" s="42">
        <v>100000</v>
      </c>
      <c r="N8" s="42">
        <v>100000</v>
      </c>
      <c r="O8" s="36" t="s">
        <v>22</v>
      </c>
      <c r="P8" s="39">
        <v>45767</v>
      </c>
      <c r="Q8" s="39">
        <v>46022</v>
      </c>
      <c r="S8" s="41">
        <v>1</v>
      </c>
      <c r="T8" s="46">
        <v>0.2</v>
      </c>
      <c r="U8" s="46">
        <v>0.2</v>
      </c>
      <c r="V8" s="46">
        <v>0.2</v>
      </c>
      <c r="W8" s="47">
        <v>40000</v>
      </c>
      <c r="X8" s="29"/>
      <c r="Y8" s="49">
        <v>15000</v>
      </c>
      <c r="Z8" s="50">
        <v>30000</v>
      </c>
      <c r="AA8" s="47">
        <v>45000</v>
      </c>
      <c r="AB8" s="47">
        <v>5000</v>
      </c>
      <c r="AC8" s="29" t="s">
        <v>248</v>
      </c>
      <c r="AD8" s="29">
        <v>16</v>
      </c>
      <c r="AE8" s="29" t="s">
        <v>408</v>
      </c>
      <c r="AF8" s="29"/>
    </row>
    <row r="9" spans="1:32" ht="16.5">
      <c r="A9" s="29">
        <v>2006</v>
      </c>
      <c r="B9" s="29">
        <v>2006</v>
      </c>
      <c r="C9" s="29" t="s">
        <v>217</v>
      </c>
      <c r="D9" s="44" t="s">
        <v>407</v>
      </c>
      <c r="E9" s="29" t="s">
        <v>217</v>
      </c>
      <c r="F9" s="41">
        <v>1</v>
      </c>
      <c r="G9" s="29">
        <v>72</v>
      </c>
      <c r="H9" s="29" t="s">
        <v>319</v>
      </c>
      <c r="I9" s="44"/>
      <c r="J9" s="29"/>
      <c r="K9" s="42">
        <v>100000</v>
      </c>
      <c r="L9" s="42">
        <v>100000</v>
      </c>
      <c r="M9" s="42">
        <v>100000</v>
      </c>
      <c r="N9" s="42">
        <v>100000</v>
      </c>
      <c r="O9" s="36" t="s">
        <v>22</v>
      </c>
      <c r="P9" s="39">
        <v>45767</v>
      </c>
      <c r="Q9" s="39">
        <v>46022</v>
      </c>
      <c r="S9" s="41">
        <v>1</v>
      </c>
      <c r="T9" s="46">
        <v>0.2</v>
      </c>
      <c r="U9" s="46">
        <v>0.2</v>
      </c>
      <c r="V9" s="46">
        <v>0.2</v>
      </c>
      <c r="W9" s="47">
        <v>40000</v>
      </c>
      <c r="X9" s="29">
        <v>25000</v>
      </c>
      <c r="Y9" s="49">
        <v>15000</v>
      </c>
      <c r="Z9" s="50">
        <v>30000</v>
      </c>
      <c r="AA9" s="47">
        <v>45000</v>
      </c>
      <c r="AB9" s="47">
        <v>5000</v>
      </c>
      <c r="AC9" s="29" t="s">
        <v>248</v>
      </c>
      <c r="AD9" s="29">
        <v>17</v>
      </c>
      <c r="AE9" s="29" t="s">
        <v>408</v>
      </c>
      <c r="AF9" s="29"/>
    </row>
    <row r="10" spans="1:32" ht="16.5">
      <c r="A10" s="29">
        <v>2003</v>
      </c>
      <c r="B10" s="29">
        <v>2003</v>
      </c>
      <c r="C10" s="29" t="s">
        <v>222</v>
      </c>
      <c r="D10" s="44" t="s">
        <v>407</v>
      </c>
      <c r="E10" s="29" t="s">
        <v>222</v>
      </c>
      <c r="F10" s="41">
        <v>1</v>
      </c>
      <c r="G10" s="29">
        <v>72</v>
      </c>
      <c r="H10" s="29" t="s">
        <v>319</v>
      </c>
      <c r="I10" s="44"/>
      <c r="J10" s="29"/>
      <c r="K10" s="42">
        <v>100000</v>
      </c>
      <c r="L10" s="42">
        <v>100000</v>
      </c>
      <c r="M10" s="42">
        <v>100000</v>
      </c>
      <c r="N10" s="42">
        <v>100000</v>
      </c>
      <c r="O10" s="36" t="s">
        <v>6</v>
      </c>
      <c r="P10" s="39">
        <v>45767</v>
      </c>
      <c r="Q10" s="39">
        <v>46022</v>
      </c>
      <c r="S10" s="41">
        <v>1</v>
      </c>
      <c r="T10" s="46">
        <v>0.2</v>
      </c>
      <c r="U10" s="46">
        <v>0.2</v>
      </c>
      <c r="V10" s="46">
        <v>0.2</v>
      </c>
      <c r="W10" s="47">
        <v>40000</v>
      </c>
      <c r="X10" s="29"/>
      <c r="Y10" s="49">
        <v>15000</v>
      </c>
      <c r="Z10" s="50">
        <v>30000</v>
      </c>
      <c r="AA10" s="47">
        <v>45000</v>
      </c>
      <c r="AB10" s="47">
        <v>5000</v>
      </c>
      <c r="AC10" s="29" t="s">
        <v>248</v>
      </c>
      <c r="AD10" s="29">
        <v>18</v>
      </c>
      <c r="AE10" s="29" t="s">
        <v>408</v>
      </c>
      <c r="AF10" s="29"/>
    </row>
    <row r="11" spans="1:32" ht="16.5">
      <c r="A11" s="29">
        <v>2011</v>
      </c>
      <c r="B11" s="29">
        <v>2011</v>
      </c>
      <c r="C11" s="29" t="s">
        <v>229</v>
      </c>
      <c r="D11" s="44" t="s">
        <v>407</v>
      </c>
      <c r="E11" s="29" t="s">
        <v>229</v>
      </c>
      <c r="F11" s="41">
        <v>1</v>
      </c>
      <c r="G11" s="29">
        <v>72</v>
      </c>
      <c r="H11" s="29" t="s">
        <v>319</v>
      </c>
      <c r="I11" s="44"/>
      <c r="J11" s="29"/>
      <c r="K11" s="42">
        <v>100000</v>
      </c>
      <c r="L11" s="42">
        <v>100000</v>
      </c>
      <c r="M11" s="42">
        <v>100000</v>
      </c>
      <c r="N11" s="42">
        <v>100000</v>
      </c>
      <c r="O11" s="36" t="s">
        <v>6</v>
      </c>
      <c r="P11" s="39">
        <v>45767</v>
      </c>
      <c r="Q11" s="39">
        <v>46022</v>
      </c>
      <c r="S11" s="41">
        <v>1</v>
      </c>
      <c r="T11" s="46">
        <v>0.2</v>
      </c>
      <c r="U11" s="46">
        <v>0.2</v>
      </c>
      <c r="V11" s="46">
        <v>0.2</v>
      </c>
      <c r="W11" s="47">
        <v>40000</v>
      </c>
      <c r="X11" s="29"/>
      <c r="Y11" s="49">
        <v>15000</v>
      </c>
      <c r="Z11" s="50">
        <v>30000</v>
      </c>
      <c r="AA11" s="47">
        <v>45000</v>
      </c>
      <c r="AB11" s="47">
        <v>5000</v>
      </c>
      <c r="AC11" s="29" t="s">
        <v>248</v>
      </c>
      <c r="AD11" s="29">
        <v>19</v>
      </c>
      <c r="AE11" s="29" t="s">
        <v>408</v>
      </c>
      <c r="AF11" s="29"/>
    </row>
    <row r="12" spans="1:32" ht="16.5">
      <c r="A12" s="29">
        <v>2012</v>
      </c>
      <c r="B12" s="29">
        <v>2012</v>
      </c>
      <c r="C12" s="29" t="s">
        <v>235</v>
      </c>
      <c r="D12" s="44" t="s">
        <v>407</v>
      </c>
      <c r="E12" s="29" t="s">
        <v>235</v>
      </c>
      <c r="F12" s="41">
        <v>1</v>
      </c>
      <c r="G12" s="29">
        <v>72</v>
      </c>
      <c r="H12" s="29" t="s">
        <v>319</v>
      </c>
      <c r="I12" s="44"/>
      <c r="J12" s="29"/>
      <c r="K12" s="42">
        <v>100000</v>
      </c>
      <c r="L12" s="42">
        <v>100000</v>
      </c>
      <c r="M12" s="42">
        <v>100000</v>
      </c>
      <c r="N12" s="42">
        <v>100000</v>
      </c>
      <c r="O12" s="36" t="s">
        <v>6</v>
      </c>
      <c r="P12" s="39">
        <v>45767</v>
      </c>
      <c r="Q12" s="39">
        <v>46022</v>
      </c>
      <c r="S12" s="41">
        <v>1</v>
      </c>
      <c r="T12" s="46">
        <v>0.2</v>
      </c>
      <c r="U12" s="46">
        <v>0.2</v>
      </c>
      <c r="V12" s="46">
        <v>0.2</v>
      </c>
      <c r="W12" s="47">
        <v>40000</v>
      </c>
      <c r="X12" s="29"/>
      <c r="Y12" s="49">
        <v>15000</v>
      </c>
      <c r="Z12" s="50">
        <v>30000</v>
      </c>
      <c r="AA12" s="47">
        <v>45000</v>
      </c>
      <c r="AB12" s="47">
        <v>5000</v>
      </c>
      <c r="AC12" s="29" t="s">
        <v>248</v>
      </c>
      <c r="AD12" s="29">
        <v>20</v>
      </c>
      <c r="AE12" s="29" t="s">
        <v>408</v>
      </c>
      <c r="AF12" s="29"/>
    </row>
    <row r="13" spans="1:32" ht="16.5">
      <c r="A13" s="29">
        <v>2013</v>
      </c>
      <c r="B13" s="29">
        <v>2013</v>
      </c>
      <c r="C13" s="29" t="s">
        <v>240</v>
      </c>
      <c r="D13" s="44" t="s">
        <v>407</v>
      </c>
      <c r="E13" s="29" t="s">
        <v>240</v>
      </c>
      <c r="F13" s="41">
        <v>1</v>
      </c>
      <c r="G13" s="29"/>
      <c r="H13" s="29"/>
      <c r="I13" s="44"/>
      <c r="J13" s="29"/>
      <c r="K13" s="42">
        <v>100000</v>
      </c>
      <c r="L13" s="42">
        <v>100000</v>
      </c>
      <c r="M13" s="42">
        <v>100000</v>
      </c>
      <c r="N13" s="42">
        <v>100000</v>
      </c>
      <c r="O13" s="36" t="s">
        <v>6</v>
      </c>
      <c r="P13" s="39">
        <v>45767</v>
      </c>
      <c r="Q13" s="39">
        <v>46022</v>
      </c>
      <c r="S13" s="41">
        <v>1</v>
      </c>
      <c r="T13" s="46">
        <v>0.2</v>
      </c>
      <c r="U13" s="46">
        <v>0.2</v>
      </c>
      <c r="V13" s="46">
        <v>0.2</v>
      </c>
      <c r="W13" s="47">
        <v>40000</v>
      </c>
      <c r="X13" s="29"/>
      <c r="Y13" s="49">
        <v>15000</v>
      </c>
      <c r="Z13" s="50">
        <v>30000</v>
      </c>
      <c r="AA13" s="47">
        <v>45000</v>
      </c>
      <c r="AB13" s="47">
        <v>5000</v>
      </c>
      <c r="AC13" s="29" t="s">
        <v>248</v>
      </c>
      <c r="AD13" s="29">
        <v>21</v>
      </c>
      <c r="AE13" s="29" t="s">
        <v>408</v>
      </c>
      <c r="AF13" s="29"/>
    </row>
    <row r="14" spans="1:32" ht="16.5">
      <c r="A14" s="29">
        <v>94</v>
      </c>
      <c r="B14" s="29">
        <v>94</v>
      </c>
      <c r="C14" s="29" t="s">
        <v>246</v>
      </c>
      <c r="D14" s="44" t="s">
        <v>407</v>
      </c>
      <c r="E14" s="29" t="s">
        <v>246</v>
      </c>
      <c r="F14" s="41"/>
      <c r="G14" s="29"/>
      <c r="H14" s="29"/>
      <c r="I14" s="44"/>
      <c r="J14" s="29"/>
      <c r="K14" s="42">
        <v>100000</v>
      </c>
      <c r="L14" s="42">
        <v>100000</v>
      </c>
      <c r="M14" s="42">
        <v>100000</v>
      </c>
      <c r="N14" s="42">
        <v>100000</v>
      </c>
      <c r="O14" s="36" t="s">
        <v>6</v>
      </c>
      <c r="P14" s="39">
        <v>45767</v>
      </c>
      <c r="Q14" s="39">
        <v>46022</v>
      </c>
      <c r="S14" s="41"/>
      <c r="T14" s="46">
        <v>0.2</v>
      </c>
      <c r="U14" s="46">
        <v>0.2</v>
      </c>
      <c r="V14" s="46">
        <v>0.2</v>
      </c>
      <c r="W14" s="47">
        <v>40000</v>
      </c>
      <c r="X14" s="29">
        <v>30000</v>
      </c>
      <c r="Y14" s="49">
        <v>15000</v>
      </c>
      <c r="Z14" s="50">
        <v>30000</v>
      </c>
      <c r="AA14" s="47">
        <v>45000</v>
      </c>
      <c r="AB14" s="47">
        <v>5000</v>
      </c>
      <c r="AC14" s="29" t="s">
        <v>208</v>
      </c>
      <c r="AD14" s="29">
        <v>22</v>
      </c>
      <c r="AE14" s="29" t="s">
        <v>408</v>
      </c>
      <c r="AF14" s="29"/>
    </row>
    <row r="15" spans="1:32" ht="16.5">
      <c r="A15" s="29">
        <v>73</v>
      </c>
      <c r="B15" s="29">
        <v>73</v>
      </c>
      <c r="C15" s="29" t="s">
        <v>253</v>
      </c>
      <c r="D15" s="44" t="s">
        <v>407</v>
      </c>
      <c r="E15" s="29" t="s">
        <v>253</v>
      </c>
      <c r="F15" s="41">
        <v>1</v>
      </c>
      <c r="G15" s="29"/>
      <c r="H15" s="29"/>
      <c r="I15" s="44"/>
      <c r="J15" s="29"/>
      <c r="K15" s="42">
        <v>100000</v>
      </c>
      <c r="L15" s="42">
        <v>100000</v>
      </c>
      <c r="M15" s="42">
        <v>100000</v>
      </c>
      <c r="N15" s="42">
        <v>100000</v>
      </c>
      <c r="O15" s="36" t="s">
        <v>6</v>
      </c>
      <c r="P15" s="39">
        <v>45767</v>
      </c>
      <c r="Q15" s="39">
        <v>46022</v>
      </c>
      <c r="S15" s="41">
        <v>1</v>
      </c>
      <c r="T15" s="46">
        <v>0.2</v>
      </c>
      <c r="U15" s="46">
        <v>0.2</v>
      </c>
      <c r="V15" s="46">
        <v>0.2</v>
      </c>
      <c r="W15" s="47">
        <v>40000</v>
      </c>
      <c r="X15" s="29"/>
      <c r="Y15" s="49">
        <v>15000</v>
      </c>
      <c r="Z15" s="50">
        <v>30000</v>
      </c>
      <c r="AA15" s="47">
        <v>45000</v>
      </c>
      <c r="AB15" s="47">
        <v>5000</v>
      </c>
      <c r="AC15" s="29" t="s">
        <v>208</v>
      </c>
      <c r="AD15" s="29">
        <v>23</v>
      </c>
      <c r="AE15" s="29" t="s">
        <v>412</v>
      </c>
      <c r="AF15" s="29"/>
    </row>
    <row r="16" spans="1:32" ht="16.5">
      <c r="A16" s="29">
        <v>88</v>
      </c>
      <c r="B16" s="29">
        <v>88</v>
      </c>
      <c r="C16" s="29" t="s">
        <v>261</v>
      </c>
      <c r="D16" s="44" t="s">
        <v>407</v>
      </c>
      <c r="E16" s="29" t="s">
        <v>261</v>
      </c>
      <c r="F16" s="41">
        <v>1</v>
      </c>
      <c r="G16" s="29"/>
      <c r="H16" s="29"/>
      <c r="I16" s="44"/>
      <c r="J16" s="29"/>
      <c r="K16" s="42">
        <v>100000</v>
      </c>
      <c r="L16" s="42">
        <v>100000</v>
      </c>
      <c r="M16" s="42">
        <v>100000</v>
      </c>
      <c r="N16" s="42">
        <v>100000</v>
      </c>
      <c r="O16" s="36" t="s">
        <v>6</v>
      </c>
      <c r="P16" s="39">
        <v>45767</v>
      </c>
      <c r="Q16" s="39">
        <v>46022</v>
      </c>
      <c r="S16" s="41">
        <v>1</v>
      </c>
      <c r="T16" s="46">
        <v>0.2</v>
      </c>
      <c r="U16" s="46">
        <v>0.2</v>
      </c>
      <c r="V16" s="46">
        <v>0.2</v>
      </c>
      <c r="W16" s="47">
        <v>40000</v>
      </c>
      <c r="X16" s="29"/>
      <c r="Y16" s="49">
        <v>15000</v>
      </c>
      <c r="Z16" s="50">
        <v>30000</v>
      </c>
      <c r="AA16" s="47">
        <v>45000</v>
      </c>
      <c r="AB16" s="47">
        <v>5000</v>
      </c>
      <c r="AC16" s="29" t="s">
        <v>208</v>
      </c>
      <c r="AD16" s="29">
        <v>24</v>
      </c>
      <c r="AE16" s="29" t="s">
        <v>412</v>
      </c>
      <c r="AF16" s="29"/>
    </row>
    <row r="17" spans="1:32" ht="16.5">
      <c r="A17" s="29">
        <v>91</v>
      </c>
      <c r="B17" s="29">
        <v>91</v>
      </c>
      <c r="C17" s="29" t="s">
        <v>265</v>
      </c>
      <c r="D17" s="44" t="s">
        <v>407</v>
      </c>
      <c r="E17" s="29" t="s">
        <v>265</v>
      </c>
      <c r="F17" s="41">
        <v>1</v>
      </c>
      <c r="G17" s="29"/>
      <c r="H17" s="29"/>
      <c r="I17" s="44"/>
      <c r="J17" s="29"/>
      <c r="K17" s="42">
        <v>100000</v>
      </c>
      <c r="L17" s="42">
        <v>100000</v>
      </c>
      <c r="M17" s="42">
        <v>100000</v>
      </c>
      <c r="N17" s="42">
        <v>100000</v>
      </c>
      <c r="O17" s="36" t="s">
        <v>6</v>
      </c>
      <c r="P17" s="39">
        <v>45767</v>
      </c>
      <c r="Q17" s="39">
        <v>46022</v>
      </c>
      <c r="S17" s="41">
        <v>1</v>
      </c>
      <c r="T17" s="46">
        <v>0.2</v>
      </c>
      <c r="U17" s="46">
        <v>0.2</v>
      </c>
      <c r="V17" s="46">
        <v>0.2</v>
      </c>
      <c r="W17" s="47">
        <v>40000</v>
      </c>
      <c r="X17" s="29"/>
      <c r="Y17" s="49">
        <v>15000</v>
      </c>
      <c r="Z17" s="50">
        <v>30000</v>
      </c>
      <c r="AA17" s="47">
        <v>45000</v>
      </c>
      <c r="AB17" s="47">
        <v>5000</v>
      </c>
      <c r="AC17" s="29" t="s">
        <v>208</v>
      </c>
      <c r="AD17" s="29" t="s">
        <v>413</v>
      </c>
      <c r="AE17" s="29" t="s">
        <v>412</v>
      </c>
      <c r="AF17" s="29"/>
    </row>
    <row r="18" spans="1:32" ht="16.5">
      <c r="A18" s="29">
        <v>92</v>
      </c>
      <c r="B18" s="29">
        <v>92</v>
      </c>
      <c r="C18" s="29" t="s">
        <v>269</v>
      </c>
      <c r="D18" s="44" t="s">
        <v>407</v>
      </c>
      <c r="E18" s="29" t="s">
        <v>269</v>
      </c>
      <c r="F18" s="41">
        <v>1</v>
      </c>
      <c r="G18" s="29"/>
      <c r="H18" s="29"/>
      <c r="I18" s="44"/>
      <c r="J18" s="29"/>
      <c r="K18" s="42">
        <v>100000</v>
      </c>
      <c r="L18" s="42">
        <v>100000</v>
      </c>
      <c r="M18" s="42">
        <v>100000</v>
      </c>
      <c r="N18" s="42">
        <v>100000</v>
      </c>
      <c r="O18" s="36" t="s">
        <v>9</v>
      </c>
      <c r="P18" s="39">
        <v>45767</v>
      </c>
      <c r="Q18" s="39">
        <v>46022</v>
      </c>
      <c r="S18" s="41">
        <v>1</v>
      </c>
      <c r="T18" s="46">
        <v>0.2</v>
      </c>
      <c r="U18" s="46">
        <v>0.2</v>
      </c>
      <c r="V18" s="46">
        <v>0.2</v>
      </c>
      <c r="W18" s="47">
        <v>40000</v>
      </c>
      <c r="X18" s="42">
        <v>45000</v>
      </c>
      <c r="Y18" s="49">
        <v>15000</v>
      </c>
      <c r="Z18" s="50">
        <v>30000</v>
      </c>
      <c r="AA18" s="47">
        <v>45000</v>
      </c>
      <c r="AB18" s="47">
        <v>5000</v>
      </c>
      <c r="AC18" s="29" t="s">
        <v>208</v>
      </c>
      <c r="AD18" s="29" t="s">
        <v>414</v>
      </c>
      <c r="AE18" s="29" t="s">
        <v>412</v>
      </c>
      <c r="AF18" s="29"/>
    </row>
    <row r="19" spans="1:32" ht="16.5">
      <c r="A19" s="29">
        <v>111</v>
      </c>
      <c r="B19" s="29">
        <v>111</v>
      </c>
      <c r="C19" s="29" t="s">
        <v>273</v>
      </c>
      <c r="D19" s="44" t="s">
        <v>407</v>
      </c>
      <c r="E19" s="29" t="s">
        <v>273</v>
      </c>
      <c r="F19" s="41">
        <v>1</v>
      </c>
      <c r="G19" s="29"/>
      <c r="H19" s="29"/>
      <c r="I19" s="44"/>
      <c r="J19" s="29"/>
      <c r="K19" s="42">
        <v>100000</v>
      </c>
      <c r="L19" s="42">
        <v>100000</v>
      </c>
      <c r="M19" s="42">
        <v>100000</v>
      </c>
      <c r="N19" s="42">
        <v>100000</v>
      </c>
      <c r="O19" s="36" t="s">
        <v>9</v>
      </c>
      <c r="P19" s="39">
        <v>45767</v>
      </c>
      <c r="Q19" s="39">
        <v>46022</v>
      </c>
      <c r="S19" s="41">
        <v>1</v>
      </c>
      <c r="T19" s="46">
        <v>0.2</v>
      </c>
      <c r="U19" s="46">
        <v>0.2</v>
      </c>
      <c r="V19" s="46">
        <v>0.2</v>
      </c>
      <c r="W19" s="47">
        <v>40000</v>
      </c>
      <c r="X19" s="29"/>
      <c r="Y19" s="49">
        <v>15000</v>
      </c>
      <c r="Z19" s="50">
        <v>30000</v>
      </c>
      <c r="AA19" s="47">
        <v>45000</v>
      </c>
      <c r="AB19" s="47">
        <v>5000</v>
      </c>
      <c r="AC19" s="29" t="s">
        <v>208</v>
      </c>
      <c r="AD19" s="29" t="s">
        <v>415</v>
      </c>
      <c r="AE19" s="29" t="s">
        <v>412</v>
      </c>
      <c r="AF19" s="29"/>
    </row>
    <row r="20" spans="1:32" ht="16.5">
      <c r="A20" s="29">
        <v>110</v>
      </c>
      <c r="B20" s="29">
        <v>110</v>
      </c>
      <c r="C20" s="29" t="s">
        <v>277</v>
      </c>
      <c r="D20" s="44" t="s">
        <v>407</v>
      </c>
      <c r="E20" s="29" t="s">
        <v>277</v>
      </c>
      <c r="F20" s="41">
        <v>1</v>
      </c>
      <c r="G20" s="29"/>
      <c r="H20" s="29"/>
      <c r="I20" s="44"/>
      <c r="J20" s="29"/>
      <c r="K20" s="42">
        <v>100000</v>
      </c>
      <c r="L20" s="42">
        <v>100000</v>
      </c>
      <c r="M20" s="42">
        <v>100000</v>
      </c>
      <c r="N20" s="42">
        <v>100000</v>
      </c>
      <c r="O20" s="36" t="s">
        <v>9</v>
      </c>
      <c r="P20" s="39">
        <v>45767</v>
      </c>
      <c r="Q20" s="39">
        <v>46022</v>
      </c>
      <c r="S20" s="41">
        <v>1</v>
      </c>
      <c r="T20" s="46">
        <v>0.2</v>
      </c>
      <c r="U20" s="46">
        <v>0.2</v>
      </c>
      <c r="V20" s="46">
        <v>0.2</v>
      </c>
      <c r="W20" s="47">
        <v>40000</v>
      </c>
      <c r="X20" s="29"/>
      <c r="Y20" s="49">
        <v>15000</v>
      </c>
      <c r="Z20" s="50">
        <v>30000</v>
      </c>
      <c r="AA20" s="47">
        <v>45000</v>
      </c>
      <c r="AB20" s="47">
        <v>5000</v>
      </c>
      <c r="AC20" s="29" t="s">
        <v>208</v>
      </c>
      <c r="AD20" s="29" t="s">
        <v>415</v>
      </c>
      <c r="AE20" s="29" t="s">
        <v>412</v>
      </c>
      <c r="AF20" s="29"/>
    </row>
    <row r="21" spans="1:32" ht="16.5">
      <c r="A21" s="29">
        <v>95</v>
      </c>
      <c r="B21" s="29">
        <v>95</v>
      </c>
      <c r="C21" s="29" t="s">
        <v>281</v>
      </c>
      <c r="D21" s="44" t="s">
        <v>407</v>
      </c>
      <c r="E21" s="29" t="s">
        <v>281</v>
      </c>
      <c r="F21" s="41">
        <v>0.5</v>
      </c>
      <c r="G21" s="29"/>
      <c r="H21" s="29"/>
      <c r="I21" s="44"/>
      <c r="J21" s="29"/>
      <c r="K21" s="42">
        <v>100000</v>
      </c>
      <c r="L21" s="42">
        <v>100000</v>
      </c>
      <c r="M21" s="42">
        <v>100000</v>
      </c>
      <c r="N21" s="42">
        <v>100000</v>
      </c>
      <c r="O21" s="36" t="s">
        <v>9</v>
      </c>
      <c r="P21" s="39">
        <v>45767</v>
      </c>
      <c r="Q21" s="39">
        <v>46022</v>
      </c>
      <c r="S21" s="41">
        <v>1</v>
      </c>
      <c r="T21" s="46">
        <v>0.2</v>
      </c>
      <c r="U21" s="46">
        <v>0.2</v>
      </c>
      <c r="V21" s="46">
        <v>0.2</v>
      </c>
      <c r="W21" s="47">
        <v>40000</v>
      </c>
      <c r="X21" s="29">
        <v>50000</v>
      </c>
      <c r="Y21" s="49">
        <v>15000</v>
      </c>
      <c r="Z21" s="50">
        <v>30000</v>
      </c>
      <c r="AA21" s="47">
        <v>45000</v>
      </c>
      <c r="AB21" s="47">
        <v>5000</v>
      </c>
      <c r="AC21" s="29" t="s">
        <v>208</v>
      </c>
      <c r="AD21" s="29" t="s">
        <v>415</v>
      </c>
      <c r="AE21" s="29" t="s">
        <v>412</v>
      </c>
      <c r="AF21" s="29"/>
    </row>
    <row r="22" spans="1:32" ht="16.5">
      <c r="A22" s="29">
        <v>80</v>
      </c>
      <c r="B22" s="29">
        <v>80</v>
      </c>
      <c r="C22" s="29" t="s">
        <v>174</v>
      </c>
      <c r="D22" s="44" t="s">
        <v>407</v>
      </c>
      <c r="E22" s="29" t="s">
        <v>174</v>
      </c>
      <c r="F22" s="41">
        <v>1</v>
      </c>
      <c r="G22" s="29"/>
      <c r="H22" s="29"/>
      <c r="I22" s="44"/>
      <c r="J22" s="29"/>
      <c r="K22" s="42">
        <v>100000</v>
      </c>
      <c r="L22" s="42">
        <v>100000</v>
      </c>
      <c r="M22" s="42">
        <v>100000</v>
      </c>
      <c r="N22" s="42">
        <v>100000</v>
      </c>
      <c r="O22" s="36" t="s">
        <v>9</v>
      </c>
      <c r="P22" s="39">
        <v>45767</v>
      </c>
      <c r="Q22" s="39">
        <v>46022</v>
      </c>
      <c r="S22" s="41">
        <v>1</v>
      </c>
      <c r="T22" s="46">
        <v>0.2</v>
      </c>
      <c r="U22" s="46">
        <v>0.2</v>
      </c>
      <c r="V22" s="46">
        <v>0.2</v>
      </c>
      <c r="W22" s="47">
        <v>40000</v>
      </c>
      <c r="X22" s="29"/>
      <c r="Y22" s="49">
        <v>15000</v>
      </c>
      <c r="Z22" s="50">
        <v>30000</v>
      </c>
      <c r="AA22" s="47">
        <v>45000</v>
      </c>
      <c r="AB22" s="47">
        <v>5000</v>
      </c>
      <c r="AC22" s="29" t="s">
        <v>208</v>
      </c>
      <c r="AD22" s="29" t="s">
        <v>415</v>
      </c>
      <c r="AE22" s="29" t="s">
        <v>412</v>
      </c>
      <c r="AF22" s="29"/>
    </row>
    <row r="23" spans="1:32" ht="16.5">
      <c r="A23" s="29">
        <v>115</v>
      </c>
      <c r="B23" s="29">
        <v>115</v>
      </c>
      <c r="C23" s="29" t="s">
        <v>290</v>
      </c>
      <c r="D23" s="44" t="s">
        <v>407</v>
      </c>
      <c r="E23" s="29" t="s">
        <v>290</v>
      </c>
      <c r="F23" s="41">
        <v>1</v>
      </c>
      <c r="G23" s="29"/>
      <c r="H23" s="29"/>
      <c r="I23" s="44"/>
      <c r="J23" s="29"/>
      <c r="K23" s="42">
        <v>100000</v>
      </c>
      <c r="L23" s="42">
        <v>100000</v>
      </c>
      <c r="M23" s="42">
        <v>100000</v>
      </c>
      <c r="N23" s="42">
        <v>100000</v>
      </c>
      <c r="O23" s="36" t="s">
        <v>9</v>
      </c>
      <c r="P23" s="39">
        <v>45767</v>
      </c>
      <c r="Q23" s="39">
        <v>46022</v>
      </c>
      <c r="S23" s="41">
        <v>1</v>
      </c>
      <c r="T23" s="46">
        <v>0.2</v>
      </c>
      <c r="U23" s="46">
        <v>0.2</v>
      </c>
      <c r="V23" s="46">
        <v>0.2</v>
      </c>
      <c r="W23" s="47">
        <v>40000</v>
      </c>
      <c r="X23" s="29"/>
      <c r="Y23" s="49">
        <v>15000</v>
      </c>
      <c r="Z23" s="50">
        <v>30000</v>
      </c>
      <c r="AA23" s="47">
        <v>45000</v>
      </c>
      <c r="AB23" s="47">
        <v>5000</v>
      </c>
      <c r="AC23" s="29" t="s">
        <v>208</v>
      </c>
      <c r="AD23" s="29" t="s">
        <v>415</v>
      </c>
      <c r="AE23" s="29" t="s">
        <v>412</v>
      </c>
      <c r="AF23" s="29"/>
    </row>
    <row r="24" spans="1:32" ht="16.5">
      <c r="A24" s="29">
        <v>93</v>
      </c>
      <c r="B24" s="29">
        <v>93</v>
      </c>
      <c r="C24" s="29" t="s">
        <v>294</v>
      </c>
      <c r="D24" s="44" t="s">
        <v>407</v>
      </c>
      <c r="E24" s="29" t="s">
        <v>294</v>
      </c>
      <c r="F24" s="41">
        <v>1</v>
      </c>
      <c r="G24" s="29"/>
      <c r="H24" s="29"/>
      <c r="I24" s="44"/>
      <c r="J24" s="29"/>
      <c r="K24" s="42">
        <v>100000</v>
      </c>
      <c r="L24" s="42">
        <v>100000</v>
      </c>
      <c r="M24" s="42">
        <v>100000</v>
      </c>
      <c r="N24" s="42">
        <v>100000</v>
      </c>
      <c r="O24" s="36" t="s">
        <v>16</v>
      </c>
      <c r="P24" s="39">
        <v>45767</v>
      </c>
      <c r="Q24" s="39">
        <v>46022</v>
      </c>
      <c r="S24" s="41">
        <v>1</v>
      </c>
      <c r="T24" s="46">
        <v>0.2</v>
      </c>
      <c r="U24" s="46">
        <v>0.2</v>
      </c>
      <c r="V24" s="46">
        <v>0.2</v>
      </c>
      <c r="W24" s="47">
        <v>40000</v>
      </c>
      <c r="X24" s="29"/>
      <c r="Y24" s="49">
        <v>15000</v>
      </c>
      <c r="Z24" s="50">
        <v>30000</v>
      </c>
      <c r="AA24" s="47">
        <v>45000</v>
      </c>
      <c r="AB24" s="47">
        <v>5000</v>
      </c>
      <c r="AC24" s="29" t="s">
        <v>208</v>
      </c>
      <c r="AD24" s="29" t="s">
        <v>415</v>
      </c>
      <c r="AE24" s="29" t="s">
        <v>412</v>
      </c>
      <c r="AF24" s="29"/>
    </row>
    <row r="25" spans="1:32" ht="16.5">
      <c r="A25" s="29">
        <v>101</v>
      </c>
      <c r="B25" s="29">
        <v>101</v>
      </c>
      <c r="C25" s="29" t="s">
        <v>298</v>
      </c>
      <c r="D25" s="44" t="s">
        <v>407</v>
      </c>
      <c r="E25" s="29" t="s">
        <v>298</v>
      </c>
      <c r="F25" s="41">
        <v>1</v>
      </c>
      <c r="G25" s="29"/>
      <c r="H25" s="29"/>
      <c r="I25" s="44"/>
      <c r="J25" s="29"/>
      <c r="K25" s="42">
        <v>100000</v>
      </c>
      <c r="L25" s="42">
        <v>100000</v>
      </c>
      <c r="M25" s="42">
        <v>100000</v>
      </c>
      <c r="N25" s="42">
        <v>100000</v>
      </c>
      <c r="O25" s="36" t="s">
        <v>16</v>
      </c>
      <c r="P25" s="39">
        <v>45767</v>
      </c>
      <c r="Q25" s="39">
        <v>46022</v>
      </c>
      <c r="S25" s="41">
        <v>1</v>
      </c>
      <c r="T25" s="46">
        <v>0.2</v>
      </c>
      <c r="U25" s="46">
        <v>0.2</v>
      </c>
      <c r="V25" s="46">
        <v>0.2</v>
      </c>
      <c r="W25" s="47">
        <v>40000</v>
      </c>
      <c r="X25" s="29"/>
      <c r="Y25" s="49">
        <v>15000</v>
      </c>
      <c r="Z25" s="50">
        <v>30000</v>
      </c>
      <c r="AA25" s="47">
        <v>45000</v>
      </c>
      <c r="AB25" s="47">
        <v>5000</v>
      </c>
      <c r="AC25" s="29" t="s">
        <v>208</v>
      </c>
      <c r="AD25" s="29" t="s">
        <v>415</v>
      </c>
      <c r="AE25" s="29" t="s">
        <v>412</v>
      </c>
      <c r="AF25" s="29"/>
    </row>
    <row r="26" spans="1:32" ht="16.5">
      <c r="A26" s="29">
        <v>100</v>
      </c>
      <c r="B26" s="29">
        <v>100</v>
      </c>
      <c r="C26" s="29" t="s">
        <v>302</v>
      </c>
      <c r="D26" s="44" t="s">
        <v>407</v>
      </c>
      <c r="E26" s="29" t="s">
        <v>302</v>
      </c>
      <c r="F26" s="41">
        <v>0.7</v>
      </c>
      <c r="G26" s="29"/>
      <c r="H26" s="29"/>
      <c r="I26" s="44"/>
      <c r="J26" s="29"/>
      <c r="K26" s="42">
        <v>100000</v>
      </c>
      <c r="L26" s="42">
        <v>100000</v>
      </c>
      <c r="M26" s="42">
        <v>100000</v>
      </c>
      <c r="N26" s="42">
        <v>100000</v>
      </c>
      <c r="O26" s="36" t="s">
        <v>16</v>
      </c>
      <c r="P26" s="39">
        <v>45767</v>
      </c>
      <c r="Q26" s="39">
        <v>46022</v>
      </c>
      <c r="S26" s="41">
        <v>0.7</v>
      </c>
      <c r="T26" s="46">
        <v>0.2</v>
      </c>
      <c r="U26" s="46">
        <v>0.2</v>
      </c>
      <c r="V26" s="46">
        <v>0.2</v>
      </c>
      <c r="W26" s="47">
        <v>40000</v>
      </c>
      <c r="X26" s="29"/>
      <c r="Y26" s="49">
        <v>15000</v>
      </c>
      <c r="Z26" s="50">
        <v>30000</v>
      </c>
      <c r="AA26" s="47">
        <v>45000</v>
      </c>
      <c r="AB26" s="47">
        <v>5000</v>
      </c>
      <c r="AC26" s="29" t="s">
        <v>208</v>
      </c>
      <c r="AD26" s="29">
        <v>40.5</v>
      </c>
      <c r="AE26" s="29" t="s">
        <v>412</v>
      </c>
      <c r="AF26" s="29"/>
    </row>
    <row r="27" spans="1:32" ht="16.5">
      <c r="A27" s="29">
        <v>104</v>
      </c>
      <c r="B27" s="29">
        <v>104</v>
      </c>
      <c r="C27" s="29" t="s">
        <v>306</v>
      </c>
      <c r="D27" s="44" t="s">
        <v>407</v>
      </c>
      <c r="E27" s="29" t="s">
        <v>306</v>
      </c>
      <c r="F27" s="41">
        <v>1</v>
      </c>
      <c r="G27" s="29"/>
      <c r="H27" s="29"/>
      <c r="I27" s="44"/>
      <c r="J27" s="29"/>
      <c r="K27" s="42">
        <v>100000</v>
      </c>
      <c r="L27" s="42">
        <v>100000</v>
      </c>
      <c r="M27" s="42">
        <v>100000</v>
      </c>
      <c r="N27" s="42">
        <v>100000</v>
      </c>
      <c r="O27" s="36" t="s">
        <v>16</v>
      </c>
      <c r="P27" s="39">
        <v>45767</v>
      </c>
      <c r="Q27" s="39">
        <v>46022</v>
      </c>
      <c r="S27" s="41">
        <v>1</v>
      </c>
      <c r="T27" s="46">
        <v>0.2</v>
      </c>
      <c r="U27" s="46">
        <v>0.2</v>
      </c>
      <c r="V27" s="46">
        <v>0.2</v>
      </c>
      <c r="W27" s="47">
        <v>40000</v>
      </c>
      <c r="X27" s="29"/>
      <c r="Y27" s="49">
        <v>15000</v>
      </c>
      <c r="Z27" s="50">
        <v>30000</v>
      </c>
      <c r="AA27" s="47">
        <v>45000</v>
      </c>
      <c r="AB27" s="47">
        <v>5000</v>
      </c>
      <c r="AC27" s="29" t="s">
        <v>208</v>
      </c>
      <c r="AD27" s="29">
        <v>41.5</v>
      </c>
      <c r="AE27" s="29" t="s">
        <v>412</v>
      </c>
      <c r="AF27" s="29"/>
    </row>
    <row r="28" spans="1:32" ht="16.5">
      <c r="A28" s="29">
        <v>86</v>
      </c>
      <c r="B28" s="29">
        <v>86</v>
      </c>
      <c r="C28" s="29" t="s">
        <v>310</v>
      </c>
      <c r="D28" s="44" t="s">
        <v>407</v>
      </c>
      <c r="E28" s="29" t="s">
        <v>310</v>
      </c>
      <c r="F28" s="41">
        <v>1</v>
      </c>
      <c r="G28" s="29"/>
      <c r="H28" s="29"/>
      <c r="I28" s="44"/>
      <c r="J28" s="29"/>
      <c r="K28" s="42">
        <v>100000</v>
      </c>
      <c r="L28" s="42">
        <v>100000</v>
      </c>
      <c r="M28" s="42">
        <v>100000</v>
      </c>
      <c r="N28" s="42">
        <v>100000</v>
      </c>
      <c r="O28" s="36" t="s">
        <v>16</v>
      </c>
      <c r="P28" s="39">
        <v>45767</v>
      </c>
      <c r="Q28" s="39">
        <v>46022</v>
      </c>
      <c r="S28" s="41">
        <v>1</v>
      </c>
      <c r="T28" s="46">
        <v>0.2</v>
      </c>
      <c r="U28" s="46">
        <v>0.2</v>
      </c>
      <c r="V28" s="46">
        <v>0.2</v>
      </c>
      <c r="W28" s="47">
        <v>40000</v>
      </c>
      <c r="X28" s="29">
        <v>40000</v>
      </c>
      <c r="Y28" s="49">
        <v>15000</v>
      </c>
      <c r="Z28" s="50">
        <v>30000</v>
      </c>
      <c r="AA28" s="47">
        <v>45000</v>
      </c>
      <c r="AB28" s="47">
        <v>5000</v>
      </c>
      <c r="AC28" s="29" t="s">
        <v>208</v>
      </c>
      <c r="AD28" s="29">
        <v>42.5</v>
      </c>
      <c r="AE28" s="29" t="s">
        <v>412</v>
      </c>
      <c r="AF28" s="29"/>
    </row>
    <row r="29" spans="1:32" ht="16.5">
      <c r="A29" s="29">
        <v>89</v>
      </c>
      <c r="B29" s="29">
        <v>89</v>
      </c>
      <c r="C29" s="29" t="s">
        <v>315</v>
      </c>
      <c r="D29" s="44" t="s">
        <v>407</v>
      </c>
      <c r="E29" s="29" t="s">
        <v>315</v>
      </c>
      <c r="F29" s="41">
        <v>1</v>
      </c>
      <c r="G29" s="29"/>
      <c r="H29" s="29"/>
      <c r="I29" s="44"/>
      <c r="J29" s="29"/>
      <c r="K29" s="42">
        <v>100000</v>
      </c>
      <c r="L29" s="42">
        <v>100000</v>
      </c>
      <c r="M29" s="42">
        <v>100000</v>
      </c>
      <c r="N29" s="42">
        <v>100000</v>
      </c>
      <c r="O29" s="36" t="s">
        <v>19</v>
      </c>
      <c r="P29" s="39">
        <v>45767</v>
      </c>
      <c r="Q29" s="39">
        <v>46022</v>
      </c>
      <c r="S29" s="41">
        <v>1</v>
      </c>
      <c r="T29" s="46">
        <v>0.2</v>
      </c>
      <c r="U29" s="46">
        <v>0.2</v>
      </c>
      <c r="V29" s="46">
        <v>0.2</v>
      </c>
      <c r="W29" s="47">
        <v>40000</v>
      </c>
      <c r="X29" s="29"/>
      <c r="Y29" s="49">
        <v>15000</v>
      </c>
      <c r="Z29" s="50">
        <v>30000</v>
      </c>
      <c r="AA29" s="47">
        <v>45000</v>
      </c>
      <c r="AB29" s="47">
        <v>5000</v>
      </c>
      <c r="AC29" s="29" t="s">
        <v>183</v>
      </c>
      <c r="AD29" s="29">
        <v>43.5</v>
      </c>
      <c r="AE29" s="29" t="s">
        <v>412</v>
      </c>
      <c r="AF29" s="29"/>
    </row>
    <row r="30" spans="1:32" ht="16.5">
      <c r="A30" s="29">
        <v>72</v>
      </c>
      <c r="B30" s="29">
        <v>72</v>
      </c>
      <c r="C30" s="29" t="s">
        <v>319</v>
      </c>
      <c r="D30" s="44" t="s">
        <v>407</v>
      </c>
      <c r="E30" s="29" t="s">
        <v>319</v>
      </c>
      <c r="F30" s="41">
        <v>1</v>
      </c>
      <c r="G30" s="29"/>
      <c r="H30" s="29"/>
      <c r="I30" s="44"/>
      <c r="J30" s="29"/>
      <c r="K30" s="42">
        <v>100000</v>
      </c>
      <c r="L30" s="42">
        <v>100000</v>
      </c>
      <c r="M30" s="42">
        <v>100000</v>
      </c>
      <c r="N30" s="42">
        <v>100000</v>
      </c>
      <c r="O30" s="36" t="s">
        <v>19</v>
      </c>
      <c r="P30" s="39">
        <v>45767</v>
      </c>
      <c r="Q30" s="39">
        <v>46022</v>
      </c>
      <c r="S30" s="41">
        <v>1</v>
      </c>
      <c r="T30" s="46">
        <v>0.2</v>
      </c>
      <c r="U30" s="46">
        <v>0.2</v>
      </c>
      <c r="V30" s="46">
        <v>0.2</v>
      </c>
      <c r="W30" s="47">
        <v>40000</v>
      </c>
      <c r="X30" s="29"/>
      <c r="Y30" s="49">
        <v>15000</v>
      </c>
      <c r="Z30" s="50">
        <v>30000</v>
      </c>
      <c r="AA30" s="47">
        <v>45000</v>
      </c>
      <c r="AB30" s="47">
        <v>5000</v>
      </c>
      <c r="AC30" s="29" t="s">
        <v>183</v>
      </c>
      <c r="AD30" s="29">
        <v>44.5</v>
      </c>
      <c r="AE30" s="29" t="s">
        <v>412</v>
      </c>
      <c r="AF30" s="29"/>
    </row>
    <row r="31" spans="1:32" ht="16.5">
      <c r="A31" s="29">
        <v>162</v>
      </c>
      <c r="B31" s="29">
        <v>162</v>
      </c>
      <c r="C31" s="29" t="s">
        <v>324</v>
      </c>
      <c r="D31" s="44" t="s">
        <v>407</v>
      </c>
      <c r="E31" s="29" t="s">
        <v>324</v>
      </c>
      <c r="F31" s="41">
        <v>1</v>
      </c>
      <c r="G31" s="29"/>
      <c r="H31" s="29"/>
      <c r="I31" s="44"/>
      <c r="J31" s="29"/>
      <c r="K31" s="42">
        <v>100000</v>
      </c>
      <c r="L31" s="42">
        <v>100000</v>
      </c>
      <c r="M31" s="42">
        <v>100000</v>
      </c>
      <c r="N31" s="42">
        <v>100000</v>
      </c>
      <c r="O31" s="36" t="s">
        <v>19</v>
      </c>
      <c r="P31" s="39">
        <v>45767</v>
      </c>
      <c r="Q31" s="39">
        <v>46022</v>
      </c>
      <c r="S31" s="41">
        <v>1</v>
      </c>
      <c r="T31" s="46">
        <v>0.2</v>
      </c>
      <c r="U31" s="46">
        <v>0.2</v>
      </c>
      <c r="V31" s="46">
        <v>0.2</v>
      </c>
      <c r="W31" s="47">
        <v>40000</v>
      </c>
      <c r="X31" s="29"/>
      <c r="Y31" s="49">
        <v>15000</v>
      </c>
      <c r="Z31" s="50">
        <v>30000</v>
      </c>
      <c r="AA31" s="47">
        <v>45000</v>
      </c>
      <c r="AB31" s="47">
        <v>5000</v>
      </c>
      <c r="AC31" s="29" t="s">
        <v>183</v>
      </c>
      <c r="AD31" s="29">
        <v>45.5</v>
      </c>
      <c r="AE31" s="29" t="s">
        <v>416</v>
      </c>
      <c r="AF31" s="29"/>
    </row>
    <row r="32" spans="1:32" ht="16.5">
      <c r="A32" s="29">
        <v>1121</v>
      </c>
      <c r="B32" s="29">
        <v>1121</v>
      </c>
      <c r="C32" s="29" t="s">
        <v>327</v>
      </c>
      <c r="D32" s="44" t="s">
        <v>407</v>
      </c>
      <c r="E32" s="29" t="s">
        <v>327</v>
      </c>
      <c r="F32" s="41">
        <v>1</v>
      </c>
      <c r="G32" s="29"/>
      <c r="H32" s="29"/>
      <c r="I32" s="44"/>
      <c r="J32" s="29"/>
      <c r="K32" s="42">
        <v>100000</v>
      </c>
      <c r="L32" s="42">
        <v>100000</v>
      </c>
      <c r="M32" s="42">
        <v>100000</v>
      </c>
      <c r="N32" s="42">
        <v>100000</v>
      </c>
      <c r="O32" s="36" t="s">
        <v>19</v>
      </c>
      <c r="P32" s="39">
        <v>45767</v>
      </c>
      <c r="Q32" s="39">
        <v>46022</v>
      </c>
      <c r="S32" s="41">
        <v>1</v>
      </c>
      <c r="T32" s="46">
        <v>0.2</v>
      </c>
      <c r="U32" s="46">
        <v>0.2</v>
      </c>
      <c r="V32" s="46">
        <v>0.2</v>
      </c>
      <c r="W32" s="47">
        <v>40000</v>
      </c>
      <c r="X32" s="29"/>
      <c r="Y32" s="49">
        <v>15000</v>
      </c>
      <c r="Z32" s="50">
        <v>30000</v>
      </c>
      <c r="AA32" s="47">
        <v>45000</v>
      </c>
      <c r="AB32" s="47">
        <v>5000</v>
      </c>
      <c r="AC32" s="29" t="s">
        <v>183</v>
      </c>
      <c r="AD32" s="29">
        <v>46.5</v>
      </c>
      <c r="AE32" s="29" t="s">
        <v>416</v>
      </c>
      <c r="AF32" s="29"/>
    </row>
    <row r="33" spans="1:32" ht="16.5">
      <c r="A33" s="29">
        <v>1117</v>
      </c>
      <c r="B33" s="29">
        <v>1117</v>
      </c>
      <c r="C33" s="29" t="s">
        <v>329</v>
      </c>
      <c r="D33" s="44" t="s">
        <v>407</v>
      </c>
      <c r="E33" s="29" t="s">
        <v>329</v>
      </c>
      <c r="F33" s="41">
        <v>1</v>
      </c>
      <c r="G33" s="29"/>
      <c r="H33" s="29"/>
      <c r="I33" s="44"/>
      <c r="J33" s="29"/>
      <c r="K33" s="42">
        <v>100000</v>
      </c>
      <c r="L33" s="42">
        <v>100000</v>
      </c>
      <c r="M33" s="42">
        <v>100000</v>
      </c>
      <c r="N33" s="42">
        <v>100000</v>
      </c>
      <c r="O33" s="36" t="s">
        <v>19</v>
      </c>
      <c r="P33" s="39">
        <v>45767</v>
      </c>
      <c r="Q33" s="39">
        <v>46022</v>
      </c>
      <c r="S33" s="41">
        <v>1</v>
      </c>
      <c r="T33" s="46">
        <v>0.2</v>
      </c>
      <c r="U33" s="46">
        <v>0.2</v>
      </c>
      <c r="V33" s="46">
        <v>0.2</v>
      </c>
      <c r="W33" s="47">
        <v>40000</v>
      </c>
      <c r="X33" s="29"/>
      <c r="Y33" s="49">
        <v>15000</v>
      </c>
      <c r="Z33" s="50">
        <v>30000</v>
      </c>
      <c r="AA33" s="47">
        <v>45000</v>
      </c>
      <c r="AB33" s="47">
        <v>5000</v>
      </c>
      <c r="AC33" s="29" t="s">
        <v>183</v>
      </c>
      <c r="AD33" s="29">
        <v>47.5</v>
      </c>
      <c r="AE33" s="29" t="s">
        <v>416</v>
      </c>
      <c r="AF33" s="29"/>
    </row>
    <row r="34" spans="1:32" ht="16.5">
      <c r="A34" s="29">
        <v>1115</v>
      </c>
      <c r="B34" s="29">
        <v>1115</v>
      </c>
      <c r="C34" s="29" t="s">
        <v>331</v>
      </c>
      <c r="D34" s="44" t="s">
        <v>407</v>
      </c>
      <c r="E34" s="29" t="s">
        <v>331</v>
      </c>
      <c r="F34" s="41"/>
      <c r="G34" s="29"/>
      <c r="H34" s="29"/>
      <c r="I34" s="44"/>
      <c r="J34" s="29"/>
      <c r="K34" s="42">
        <v>100000</v>
      </c>
      <c r="L34" s="42">
        <v>100000</v>
      </c>
      <c r="M34" s="42">
        <v>100000</v>
      </c>
      <c r="N34" s="42">
        <v>100000</v>
      </c>
      <c r="O34" s="36" t="s">
        <v>19</v>
      </c>
      <c r="P34" s="39">
        <v>45767</v>
      </c>
      <c r="Q34" s="39">
        <v>46022</v>
      </c>
      <c r="S34" s="41">
        <v>1</v>
      </c>
      <c r="T34" s="46">
        <v>0.2</v>
      </c>
      <c r="U34" s="46">
        <v>0.2</v>
      </c>
      <c r="V34" s="46">
        <v>0.2</v>
      </c>
      <c r="W34" s="47">
        <v>40000</v>
      </c>
      <c r="X34" s="29">
        <v>145000</v>
      </c>
      <c r="Y34" s="49">
        <v>15000</v>
      </c>
      <c r="Z34" s="50">
        <v>30000</v>
      </c>
      <c r="AA34" s="47">
        <v>45000</v>
      </c>
      <c r="AB34" s="47">
        <v>5000</v>
      </c>
      <c r="AC34" s="29" t="s">
        <v>183</v>
      </c>
      <c r="AD34" s="29">
        <v>48.5</v>
      </c>
      <c r="AE34" s="29" t="s">
        <v>416</v>
      </c>
      <c r="AF34" s="29"/>
    </row>
    <row r="35" spans="1:32" ht="16.5">
      <c r="A35" s="29">
        <v>1128</v>
      </c>
      <c r="B35" s="29">
        <v>1128</v>
      </c>
      <c r="C35" s="29" t="s">
        <v>332</v>
      </c>
      <c r="D35" s="44" t="s">
        <v>407</v>
      </c>
      <c r="E35" s="29" t="s">
        <v>332</v>
      </c>
      <c r="F35" s="41"/>
      <c r="G35" s="29"/>
      <c r="H35" s="29"/>
      <c r="I35" s="44"/>
      <c r="J35" s="29"/>
      <c r="K35" s="42">
        <v>100000</v>
      </c>
      <c r="L35" s="42">
        <v>100000</v>
      </c>
      <c r="M35" s="42">
        <v>100000</v>
      </c>
      <c r="N35" s="42">
        <v>100000</v>
      </c>
      <c r="O35" s="36" t="s">
        <v>19</v>
      </c>
      <c r="P35" s="39">
        <v>45767</v>
      </c>
      <c r="Q35" s="39">
        <v>46022</v>
      </c>
      <c r="S35" s="41">
        <v>1</v>
      </c>
      <c r="T35" s="46">
        <v>0.2</v>
      </c>
      <c r="U35" s="46">
        <v>0.2</v>
      </c>
      <c r="V35" s="46">
        <v>0.2</v>
      </c>
      <c r="W35" s="47">
        <v>40000</v>
      </c>
      <c r="X35" s="29"/>
      <c r="Y35" s="49">
        <v>15000</v>
      </c>
      <c r="Z35" s="50">
        <v>30000</v>
      </c>
      <c r="AA35" s="47">
        <v>45000</v>
      </c>
      <c r="AB35" s="47">
        <v>5000</v>
      </c>
      <c r="AC35" s="29" t="s">
        <v>183</v>
      </c>
      <c r="AD35" s="29">
        <v>49.5</v>
      </c>
      <c r="AE35" s="29" t="s">
        <v>416</v>
      </c>
      <c r="AF35" s="29"/>
    </row>
    <row r="36" spans="1:32" ht="16.5">
      <c r="A36" s="29">
        <v>1123</v>
      </c>
      <c r="B36" s="29">
        <v>1123</v>
      </c>
      <c r="C36" s="29" t="s">
        <v>334</v>
      </c>
      <c r="D36" s="44" t="s">
        <v>407</v>
      </c>
      <c r="E36" s="29" t="s">
        <v>334</v>
      </c>
      <c r="F36" s="41"/>
      <c r="G36" s="29"/>
      <c r="H36" s="29"/>
      <c r="I36" s="44"/>
      <c r="J36" s="29"/>
      <c r="K36" s="42">
        <v>100000</v>
      </c>
      <c r="L36" s="42">
        <v>100000</v>
      </c>
      <c r="M36" s="42">
        <v>100000</v>
      </c>
      <c r="N36" s="42">
        <v>100000</v>
      </c>
      <c r="O36" s="36" t="s">
        <v>19</v>
      </c>
      <c r="P36" s="39">
        <v>45767</v>
      </c>
      <c r="Q36" s="39">
        <v>46022</v>
      </c>
      <c r="S36" s="41">
        <v>1</v>
      </c>
      <c r="T36" s="46">
        <v>0.2</v>
      </c>
      <c r="U36" s="46">
        <v>0.2</v>
      </c>
      <c r="V36" s="46">
        <v>0.2</v>
      </c>
      <c r="W36" s="47">
        <v>40000</v>
      </c>
      <c r="X36" s="29"/>
      <c r="Y36" s="49">
        <v>15000</v>
      </c>
      <c r="Z36" s="50">
        <v>30000</v>
      </c>
      <c r="AA36" s="47">
        <v>45000</v>
      </c>
      <c r="AB36" s="47">
        <v>5000</v>
      </c>
      <c r="AC36" s="29">
        <v>1</v>
      </c>
      <c r="AD36" s="29">
        <v>50.5</v>
      </c>
      <c r="AE36" s="29" t="s">
        <v>416</v>
      </c>
      <c r="AF36" s="29"/>
    </row>
    <row r="37" spans="1:32" ht="16.5">
      <c r="A37" s="29">
        <v>70</v>
      </c>
      <c r="B37" s="29">
        <v>70</v>
      </c>
      <c r="C37" s="29" t="s">
        <v>336</v>
      </c>
      <c r="D37" s="44" t="s">
        <v>407</v>
      </c>
      <c r="E37" s="29" t="s">
        <v>336</v>
      </c>
      <c r="F37" s="41"/>
      <c r="G37" s="29"/>
      <c r="H37" s="29"/>
      <c r="I37" s="44"/>
      <c r="J37" s="29"/>
      <c r="K37" s="42">
        <v>100000</v>
      </c>
      <c r="L37" s="42">
        <v>100000</v>
      </c>
      <c r="M37" s="42">
        <v>100000</v>
      </c>
      <c r="N37" s="42">
        <v>100000</v>
      </c>
      <c r="O37" s="36" t="s">
        <v>6</v>
      </c>
      <c r="P37" s="39">
        <v>45767</v>
      </c>
      <c r="Q37" s="39">
        <v>46022</v>
      </c>
      <c r="S37" s="41">
        <v>1</v>
      </c>
      <c r="T37" s="46">
        <v>0.2</v>
      </c>
      <c r="U37" s="46">
        <v>0.2</v>
      </c>
      <c r="V37" s="46">
        <v>0.2</v>
      </c>
      <c r="W37" s="47">
        <v>40000</v>
      </c>
      <c r="X37" s="29"/>
      <c r="Y37" s="49">
        <v>15000</v>
      </c>
      <c r="Z37" s="50">
        <v>30000</v>
      </c>
      <c r="AA37" s="47">
        <v>45000</v>
      </c>
      <c r="AB37" s="47">
        <v>5000</v>
      </c>
      <c r="AC37" s="29">
        <v>2</v>
      </c>
      <c r="AD37" s="29">
        <v>51.5</v>
      </c>
      <c r="AE37" s="29" t="s">
        <v>416</v>
      </c>
      <c r="AF37" s="29"/>
    </row>
    <row r="38" spans="1:32" ht="16.5">
      <c r="A38" s="29">
        <v>1119</v>
      </c>
      <c r="B38" s="29">
        <v>1119</v>
      </c>
      <c r="C38" s="29" t="s">
        <v>337</v>
      </c>
      <c r="D38" s="44" t="s">
        <v>407</v>
      </c>
      <c r="E38" s="29" t="s">
        <v>337</v>
      </c>
      <c r="F38" s="41"/>
      <c r="G38" s="29"/>
      <c r="H38" s="29"/>
      <c r="I38" s="44"/>
      <c r="J38" s="29"/>
      <c r="K38" s="42">
        <v>100000</v>
      </c>
      <c r="L38" s="42">
        <v>100000</v>
      </c>
      <c r="M38" s="42">
        <v>100000</v>
      </c>
      <c r="N38" s="42">
        <v>100000</v>
      </c>
      <c r="O38" s="36" t="s">
        <v>6</v>
      </c>
      <c r="P38" s="39">
        <v>45767</v>
      </c>
      <c r="Q38" s="39">
        <v>46022</v>
      </c>
      <c r="S38" s="41">
        <v>1</v>
      </c>
      <c r="T38" s="46">
        <v>0.2</v>
      </c>
      <c r="U38" s="46">
        <v>0.2</v>
      </c>
      <c r="V38" s="46">
        <v>0.2</v>
      </c>
      <c r="W38" s="47">
        <v>40000</v>
      </c>
      <c r="X38" s="29"/>
      <c r="Y38" s="49">
        <v>15000</v>
      </c>
      <c r="Z38" s="50">
        <v>30000</v>
      </c>
      <c r="AA38" s="47">
        <v>45000</v>
      </c>
      <c r="AB38" s="47">
        <v>5000</v>
      </c>
      <c r="AC38" s="29" t="s">
        <v>183</v>
      </c>
      <c r="AD38" s="29">
        <v>52.5</v>
      </c>
      <c r="AE38" s="29" t="s">
        <v>416</v>
      </c>
      <c r="AF38" s="29"/>
    </row>
    <row r="39" spans="1:32" ht="16.5">
      <c r="A39" s="29">
        <v>1118</v>
      </c>
      <c r="B39" s="29">
        <v>1118</v>
      </c>
      <c r="C39" s="29" t="s">
        <v>338</v>
      </c>
      <c r="D39" s="44" t="s">
        <v>407</v>
      </c>
      <c r="E39" s="29" t="s">
        <v>338</v>
      </c>
      <c r="F39" s="41"/>
      <c r="G39" s="29"/>
      <c r="H39" s="29"/>
      <c r="I39" s="44"/>
      <c r="J39" s="29"/>
      <c r="K39" s="42">
        <v>100000</v>
      </c>
      <c r="L39" s="42">
        <v>100000</v>
      </c>
      <c r="M39" s="42">
        <v>100000</v>
      </c>
      <c r="N39" s="42">
        <v>100000</v>
      </c>
      <c r="O39" s="36" t="s">
        <v>6</v>
      </c>
      <c r="P39" s="39">
        <v>45767</v>
      </c>
      <c r="Q39" s="39">
        <v>46022</v>
      </c>
      <c r="S39" s="41">
        <v>1</v>
      </c>
      <c r="T39" s="46">
        <v>0.2</v>
      </c>
      <c r="U39" s="46">
        <v>0.2</v>
      </c>
      <c r="V39" s="46">
        <v>0.2</v>
      </c>
      <c r="W39" s="47">
        <v>40000</v>
      </c>
      <c r="X39" s="29"/>
      <c r="Y39" s="49">
        <v>15000</v>
      </c>
      <c r="Z39" s="50">
        <v>30000</v>
      </c>
      <c r="AA39" s="47">
        <v>45000</v>
      </c>
      <c r="AB39" s="47">
        <v>5000</v>
      </c>
      <c r="AC39" s="29" t="s">
        <v>183</v>
      </c>
      <c r="AD39" s="29">
        <v>53.5</v>
      </c>
      <c r="AE39" s="29" t="s">
        <v>416</v>
      </c>
      <c r="AF39" s="29"/>
    </row>
    <row r="40" spans="1:32" ht="16.5">
      <c r="A40" s="29">
        <v>59</v>
      </c>
      <c r="B40" s="29">
        <v>59</v>
      </c>
      <c r="C40" s="29" t="s">
        <v>340</v>
      </c>
      <c r="D40" s="44" t="s">
        <v>407</v>
      </c>
      <c r="E40" s="29" t="s">
        <v>340</v>
      </c>
      <c r="F40" s="41"/>
      <c r="G40" s="29"/>
      <c r="H40" s="29"/>
      <c r="I40" s="44"/>
      <c r="J40" s="29"/>
      <c r="K40" s="42">
        <v>100000</v>
      </c>
      <c r="L40" s="42">
        <v>100000</v>
      </c>
      <c r="M40" s="42">
        <v>100000</v>
      </c>
      <c r="N40" s="42">
        <v>100000</v>
      </c>
      <c r="O40" s="36" t="s">
        <v>6</v>
      </c>
      <c r="P40" s="39">
        <v>45767</v>
      </c>
      <c r="Q40" s="39">
        <v>46022</v>
      </c>
      <c r="S40" s="41">
        <v>1</v>
      </c>
      <c r="T40" s="46">
        <v>0.2</v>
      </c>
      <c r="U40" s="46">
        <v>0.2</v>
      </c>
      <c r="V40" s="46">
        <v>0.2</v>
      </c>
      <c r="W40" s="47">
        <v>40000</v>
      </c>
      <c r="X40" s="29">
        <v>50000</v>
      </c>
      <c r="Y40" s="49">
        <v>15000</v>
      </c>
      <c r="Z40" s="50">
        <v>30000</v>
      </c>
      <c r="AA40" s="47">
        <v>45000</v>
      </c>
      <c r="AB40" s="47">
        <v>5000</v>
      </c>
      <c r="AC40" s="29" t="s">
        <v>183</v>
      </c>
      <c r="AD40" s="29">
        <v>54.5</v>
      </c>
      <c r="AE40" s="29" t="s">
        <v>416</v>
      </c>
      <c r="AF40" s="29"/>
    </row>
    <row r="41" spans="1:32" ht="16.5">
      <c r="A41" s="29">
        <v>1127</v>
      </c>
      <c r="B41" s="29">
        <v>1127</v>
      </c>
      <c r="C41" s="29" t="s">
        <v>341</v>
      </c>
      <c r="D41" s="44" t="s">
        <v>407</v>
      </c>
      <c r="E41" s="29" t="s">
        <v>341</v>
      </c>
      <c r="F41" s="41">
        <v>1</v>
      </c>
      <c r="G41" s="29"/>
      <c r="H41" s="29"/>
      <c r="I41" s="44"/>
      <c r="J41" s="29"/>
      <c r="K41" s="42">
        <v>100000</v>
      </c>
      <c r="L41" s="42">
        <v>100000</v>
      </c>
      <c r="M41" s="42">
        <v>100000</v>
      </c>
      <c r="N41" s="42">
        <v>100000</v>
      </c>
      <c r="O41" s="36" t="s">
        <v>6</v>
      </c>
      <c r="P41" s="39">
        <v>45767</v>
      </c>
      <c r="Q41" s="39">
        <v>46022</v>
      </c>
      <c r="S41" s="41">
        <v>1</v>
      </c>
      <c r="T41" s="46">
        <v>0.2</v>
      </c>
      <c r="U41" s="46">
        <v>0.2</v>
      </c>
      <c r="V41" s="46">
        <v>0.2</v>
      </c>
      <c r="W41" s="47">
        <v>40000</v>
      </c>
      <c r="X41" s="29"/>
      <c r="Y41" s="49">
        <v>15000</v>
      </c>
      <c r="Z41" s="50">
        <v>30000</v>
      </c>
      <c r="AA41" s="47">
        <v>45000</v>
      </c>
      <c r="AB41" s="47">
        <v>5000</v>
      </c>
      <c r="AC41" s="29" t="s">
        <v>183</v>
      </c>
      <c r="AD41" s="29">
        <v>55.5</v>
      </c>
      <c r="AE41" s="29" t="s">
        <v>416</v>
      </c>
      <c r="AF41" s="29"/>
    </row>
    <row r="42" spans="1:32" ht="16.5">
      <c r="A42" s="29">
        <v>1132</v>
      </c>
      <c r="B42" s="29">
        <v>1132</v>
      </c>
      <c r="C42" s="29" t="s">
        <v>342</v>
      </c>
      <c r="D42" s="44" t="s">
        <v>407</v>
      </c>
      <c r="E42" s="29" t="s">
        <v>342</v>
      </c>
      <c r="F42" s="41">
        <v>1</v>
      </c>
      <c r="G42" s="29"/>
      <c r="H42" s="29"/>
      <c r="I42" s="44"/>
      <c r="J42" s="29"/>
      <c r="K42" s="42">
        <v>100000</v>
      </c>
      <c r="L42" s="42">
        <v>100000</v>
      </c>
      <c r="M42" s="42">
        <v>100000</v>
      </c>
      <c r="N42" s="42">
        <v>100000</v>
      </c>
      <c r="O42" s="36" t="s">
        <v>6</v>
      </c>
      <c r="P42" s="39">
        <v>45767</v>
      </c>
      <c r="Q42" s="39">
        <v>46022</v>
      </c>
      <c r="S42" s="41">
        <v>1</v>
      </c>
      <c r="T42" s="46">
        <v>0.2</v>
      </c>
      <c r="U42" s="46">
        <v>0.2</v>
      </c>
      <c r="V42" s="46">
        <v>0.2</v>
      </c>
      <c r="W42" s="47">
        <v>40000</v>
      </c>
      <c r="X42" s="29"/>
      <c r="Y42" s="49">
        <v>15000</v>
      </c>
      <c r="Z42" s="50">
        <v>30000</v>
      </c>
      <c r="AA42" s="47">
        <v>45000</v>
      </c>
      <c r="AB42" s="47">
        <v>5000</v>
      </c>
      <c r="AC42" s="29" t="s">
        <v>183</v>
      </c>
      <c r="AD42" s="29">
        <v>56.5</v>
      </c>
      <c r="AE42" s="29" t="s">
        <v>416</v>
      </c>
      <c r="AF42" s="29"/>
    </row>
    <row r="43" spans="1:32" ht="16.5">
      <c r="A43" s="29">
        <v>1126</v>
      </c>
      <c r="B43" s="29">
        <v>1126</v>
      </c>
      <c r="C43" s="29" t="s">
        <v>344</v>
      </c>
      <c r="D43" s="44" t="s">
        <v>407</v>
      </c>
      <c r="E43" s="29" t="s">
        <v>344</v>
      </c>
      <c r="F43" s="41">
        <v>1</v>
      </c>
      <c r="G43" s="29"/>
      <c r="H43" s="29"/>
      <c r="I43" s="44"/>
      <c r="J43" s="29"/>
      <c r="K43" s="42">
        <v>100000</v>
      </c>
      <c r="L43" s="42">
        <v>100000</v>
      </c>
      <c r="M43" s="42">
        <v>100000</v>
      </c>
      <c r="N43" s="42">
        <v>100000</v>
      </c>
      <c r="O43" s="36" t="s">
        <v>6</v>
      </c>
      <c r="P43" s="39">
        <v>45767</v>
      </c>
      <c r="Q43" s="39">
        <v>46022</v>
      </c>
      <c r="S43" s="41">
        <v>1</v>
      </c>
      <c r="T43" s="46">
        <v>0.2</v>
      </c>
      <c r="U43" s="46">
        <v>0.2</v>
      </c>
      <c r="V43" s="46">
        <v>0.2</v>
      </c>
      <c r="W43" s="47">
        <v>40000</v>
      </c>
      <c r="X43" s="29"/>
      <c r="Y43" s="49">
        <v>15000</v>
      </c>
      <c r="Z43" s="50">
        <v>30000</v>
      </c>
      <c r="AA43" s="47">
        <v>45000</v>
      </c>
      <c r="AB43" s="47">
        <v>5000</v>
      </c>
      <c r="AC43" s="29" t="s">
        <v>183</v>
      </c>
      <c r="AD43" s="29">
        <v>57.5</v>
      </c>
      <c r="AE43" s="29" t="s">
        <v>416</v>
      </c>
      <c r="AF43" s="29"/>
    </row>
    <row r="44" spans="1:32" ht="16.5">
      <c r="A44" s="29">
        <v>1125</v>
      </c>
      <c r="B44" s="29">
        <v>1125</v>
      </c>
      <c r="C44" s="29" t="s">
        <v>345</v>
      </c>
      <c r="D44" s="44" t="s">
        <v>407</v>
      </c>
      <c r="E44" s="29" t="s">
        <v>345</v>
      </c>
      <c r="F44" s="41">
        <v>1</v>
      </c>
      <c r="G44" s="29"/>
      <c r="H44" s="29"/>
      <c r="I44" s="44"/>
      <c r="J44" s="29"/>
      <c r="K44" s="42">
        <v>100000</v>
      </c>
      <c r="L44" s="42">
        <v>100000</v>
      </c>
      <c r="M44" s="42">
        <v>100000</v>
      </c>
      <c r="N44" s="42">
        <v>100000</v>
      </c>
      <c r="O44" s="36" t="s">
        <v>6</v>
      </c>
      <c r="P44" s="39">
        <v>45767</v>
      </c>
      <c r="Q44" s="39">
        <v>46022</v>
      </c>
      <c r="S44" s="41">
        <v>1</v>
      </c>
      <c r="T44" s="46">
        <v>0.2</v>
      </c>
      <c r="U44" s="46">
        <v>0.2</v>
      </c>
      <c r="V44" s="46">
        <v>0.2</v>
      </c>
      <c r="W44" s="47">
        <v>40000</v>
      </c>
      <c r="X44" s="29"/>
      <c r="Y44" s="49">
        <v>15000</v>
      </c>
      <c r="Z44" s="50">
        <v>30000</v>
      </c>
      <c r="AA44" s="47">
        <v>45000</v>
      </c>
      <c r="AB44" s="47">
        <v>5000</v>
      </c>
      <c r="AC44" s="29" t="s">
        <v>183</v>
      </c>
      <c r="AD44" s="29">
        <v>58.5</v>
      </c>
      <c r="AE44" s="29" t="s">
        <v>416</v>
      </c>
      <c r="AF44" s="29"/>
    </row>
    <row r="45" spans="1:32" ht="16.5">
      <c r="A45" s="29">
        <v>167</v>
      </c>
      <c r="B45" s="29">
        <v>167</v>
      </c>
      <c r="C45" s="29" t="s">
        <v>346</v>
      </c>
      <c r="D45" s="44" t="s">
        <v>407</v>
      </c>
      <c r="E45" s="29" t="s">
        <v>346</v>
      </c>
      <c r="F45" s="41">
        <v>1</v>
      </c>
      <c r="G45" s="29"/>
      <c r="H45" s="29"/>
      <c r="I45" s="44"/>
      <c r="J45" s="29"/>
      <c r="K45" s="42">
        <v>100000</v>
      </c>
      <c r="L45" s="42">
        <v>100000</v>
      </c>
      <c r="M45" s="42">
        <v>100000</v>
      </c>
      <c r="N45" s="42">
        <v>100000</v>
      </c>
      <c r="O45" s="36" t="s">
        <v>6</v>
      </c>
      <c r="P45" s="39">
        <v>45767</v>
      </c>
      <c r="Q45" s="39">
        <v>46022</v>
      </c>
      <c r="S45" s="41">
        <v>1</v>
      </c>
      <c r="T45" s="46">
        <v>0.2</v>
      </c>
      <c r="U45" s="46">
        <v>0.2</v>
      </c>
      <c r="V45" s="46">
        <v>0.2</v>
      </c>
      <c r="W45" s="47">
        <v>40000</v>
      </c>
      <c r="X45" s="29"/>
      <c r="Y45" s="49">
        <v>15000</v>
      </c>
      <c r="Z45" s="50">
        <v>30000</v>
      </c>
      <c r="AA45" s="47">
        <v>45000</v>
      </c>
      <c r="AB45" s="47">
        <v>5000</v>
      </c>
      <c r="AC45" s="29" t="s">
        <v>183</v>
      </c>
      <c r="AD45" s="29">
        <v>0.98</v>
      </c>
      <c r="AE45" s="29" t="s">
        <v>416</v>
      </c>
      <c r="AF45" s="29"/>
    </row>
    <row r="46" spans="1:32" ht="16.5">
      <c r="A46" s="38">
        <v>168</v>
      </c>
      <c r="B46" s="38">
        <v>168</v>
      </c>
      <c r="C46" s="38" t="s">
        <v>348</v>
      </c>
      <c r="D46" s="44" t="s">
        <v>407</v>
      </c>
      <c r="E46" s="38" t="s">
        <v>348</v>
      </c>
      <c r="F46" s="41">
        <v>1</v>
      </c>
      <c r="G46" s="29"/>
      <c r="H46" s="29"/>
      <c r="I46" s="44"/>
      <c r="J46" s="29"/>
      <c r="K46" s="42">
        <v>100000</v>
      </c>
      <c r="L46" s="42">
        <v>100000</v>
      </c>
      <c r="M46" s="42">
        <v>100000</v>
      </c>
      <c r="N46" s="42">
        <v>100000</v>
      </c>
      <c r="O46" s="36" t="s">
        <v>6</v>
      </c>
      <c r="P46" s="39">
        <v>45767</v>
      </c>
      <c r="Q46" s="39">
        <v>46022</v>
      </c>
      <c r="S46" s="41">
        <v>1</v>
      </c>
      <c r="T46" s="46">
        <v>0.2</v>
      </c>
      <c r="U46" s="46">
        <v>0.2</v>
      </c>
      <c r="V46" s="46">
        <v>0.2</v>
      </c>
      <c r="W46" s="47">
        <v>40000</v>
      </c>
      <c r="X46" s="29"/>
      <c r="Y46" s="49">
        <v>15000</v>
      </c>
      <c r="Z46" s="50">
        <v>30000</v>
      </c>
      <c r="AA46" s="47">
        <v>45000</v>
      </c>
      <c r="AB46" s="47">
        <v>5000</v>
      </c>
      <c r="AC46" s="29" t="s">
        <v>183</v>
      </c>
      <c r="AD46" s="29">
        <v>0.66</v>
      </c>
      <c r="AE46" s="29" t="s">
        <v>416</v>
      </c>
      <c r="AF46" s="29"/>
    </row>
    <row r="47" spans="1:32" ht="16.5">
      <c r="A47" s="29">
        <v>1113</v>
      </c>
      <c r="B47" s="29">
        <v>1113</v>
      </c>
      <c r="C47" s="29" t="s">
        <v>350</v>
      </c>
      <c r="D47" s="44" t="s">
        <v>407</v>
      </c>
      <c r="E47" s="29" t="s">
        <v>350</v>
      </c>
      <c r="F47" s="41">
        <v>1</v>
      </c>
      <c r="G47" s="29"/>
      <c r="H47" s="29"/>
      <c r="I47" s="44"/>
      <c r="J47" s="29"/>
      <c r="K47" s="42">
        <v>100000</v>
      </c>
      <c r="L47" s="42">
        <v>100000</v>
      </c>
      <c r="M47" s="42">
        <v>100000</v>
      </c>
      <c r="N47" s="42">
        <v>100000</v>
      </c>
      <c r="O47" s="36" t="s">
        <v>6</v>
      </c>
      <c r="P47" s="39">
        <v>45767</v>
      </c>
      <c r="Q47" s="39">
        <v>46022</v>
      </c>
      <c r="S47" s="41">
        <v>1</v>
      </c>
      <c r="T47" s="46">
        <v>0.2</v>
      </c>
      <c r="U47" s="46">
        <v>0.2</v>
      </c>
      <c r="V47" s="46">
        <v>0.2</v>
      </c>
      <c r="W47" s="47">
        <v>40000</v>
      </c>
      <c r="X47" s="29"/>
      <c r="Y47" s="49">
        <v>15000</v>
      </c>
      <c r="Z47" s="50">
        <v>30000</v>
      </c>
      <c r="AA47" s="47">
        <v>45000</v>
      </c>
      <c r="AB47" s="47">
        <v>5000</v>
      </c>
      <c r="AC47" s="29" t="s">
        <v>417</v>
      </c>
      <c r="AD47" s="29">
        <v>22.89</v>
      </c>
      <c r="AE47" s="29" t="s">
        <v>416</v>
      </c>
      <c r="AF47" s="29"/>
    </row>
    <row r="48" spans="1:32" ht="16.5">
      <c r="A48" s="29">
        <v>1028</v>
      </c>
      <c r="B48" s="29">
        <v>1028</v>
      </c>
      <c r="C48" s="29" t="s">
        <v>351</v>
      </c>
      <c r="D48" s="44" t="s">
        <v>407</v>
      </c>
      <c r="E48" s="29" t="s">
        <v>351</v>
      </c>
      <c r="F48" s="41">
        <v>1</v>
      </c>
      <c r="G48" s="29"/>
      <c r="H48" s="29"/>
      <c r="I48" s="44"/>
      <c r="J48" s="29"/>
      <c r="K48" s="42">
        <v>100000</v>
      </c>
      <c r="L48" s="42">
        <v>100000</v>
      </c>
      <c r="M48" s="42">
        <v>100000</v>
      </c>
      <c r="N48" s="42">
        <v>100000</v>
      </c>
      <c r="O48" s="36" t="s">
        <v>6</v>
      </c>
      <c r="P48" s="39">
        <v>45767</v>
      </c>
      <c r="Q48" s="39">
        <v>46022</v>
      </c>
      <c r="S48" s="41">
        <v>1</v>
      </c>
      <c r="T48" s="46">
        <v>0.2</v>
      </c>
      <c r="U48" s="46">
        <v>0.2</v>
      </c>
      <c r="V48" s="46">
        <v>0.2</v>
      </c>
      <c r="W48" s="47">
        <v>40000</v>
      </c>
      <c r="X48" s="29">
        <v>60000</v>
      </c>
      <c r="Y48" s="49">
        <v>15000</v>
      </c>
      <c r="Z48" s="50">
        <v>30000</v>
      </c>
      <c r="AA48" s="47">
        <v>45000</v>
      </c>
      <c r="AB48" s="47">
        <v>5000</v>
      </c>
      <c r="AC48" s="29" t="s">
        <v>418</v>
      </c>
      <c r="AD48" s="29">
        <v>23.89</v>
      </c>
      <c r="AE48" s="29" t="s">
        <v>416</v>
      </c>
      <c r="AF48" s="29"/>
    </row>
    <row r="49" spans="1:32" ht="16.5">
      <c r="A49" s="29">
        <v>1010</v>
      </c>
      <c r="B49" s="29">
        <v>1010</v>
      </c>
      <c r="C49" s="29" t="s">
        <v>354</v>
      </c>
      <c r="D49" s="44" t="s">
        <v>407</v>
      </c>
      <c r="E49" s="29" t="s">
        <v>354</v>
      </c>
      <c r="F49" s="41">
        <v>1</v>
      </c>
      <c r="G49" s="29"/>
      <c r="H49" s="29"/>
      <c r="I49" s="44"/>
      <c r="J49" s="29"/>
      <c r="K49" s="42">
        <v>100000</v>
      </c>
      <c r="L49" s="42">
        <v>100000</v>
      </c>
      <c r="M49" s="42">
        <v>100000</v>
      </c>
      <c r="N49" s="42">
        <v>100000</v>
      </c>
      <c r="O49" s="36" t="s">
        <v>6</v>
      </c>
      <c r="P49" s="39">
        <v>45767</v>
      </c>
      <c r="Q49" s="39">
        <v>46022</v>
      </c>
      <c r="S49" s="41">
        <v>1</v>
      </c>
      <c r="T49" s="46">
        <v>0.2</v>
      </c>
      <c r="U49" s="46">
        <v>0.2</v>
      </c>
      <c r="V49" s="46">
        <v>0.2</v>
      </c>
      <c r="W49" s="47">
        <v>40000</v>
      </c>
      <c r="X49" s="29"/>
      <c r="Y49" s="49">
        <v>15000</v>
      </c>
      <c r="Z49" s="50">
        <v>30000</v>
      </c>
      <c r="AA49" s="47">
        <v>45000</v>
      </c>
      <c r="AB49" s="47">
        <v>5000</v>
      </c>
      <c r="AC49" s="29" t="s">
        <v>418</v>
      </c>
      <c r="AD49" s="29">
        <v>24.89</v>
      </c>
      <c r="AE49" s="29" t="s">
        <v>416</v>
      </c>
      <c r="AF49" s="29"/>
    </row>
    <row r="50" spans="1:32" ht="16.5">
      <c r="A50" s="29">
        <v>175</v>
      </c>
      <c r="B50" s="29">
        <v>175</v>
      </c>
      <c r="C50" s="29" t="s">
        <v>355</v>
      </c>
      <c r="D50" s="44" t="s">
        <v>407</v>
      </c>
      <c r="E50" s="29" t="s">
        <v>355</v>
      </c>
      <c r="F50" s="29"/>
      <c r="G50" s="29"/>
      <c r="H50" s="29"/>
      <c r="I50" s="44"/>
      <c r="J50" s="29"/>
      <c r="K50" s="42">
        <v>100000</v>
      </c>
      <c r="L50" s="42">
        <v>100000</v>
      </c>
      <c r="M50" s="42">
        <v>100000</v>
      </c>
      <c r="N50" s="42">
        <v>100000</v>
      </c>
      <c r="O50" s="36" t="s">
        <v>6</v>
      </c>
      <c r="P50" s="39">
        <v>45767</v>
      </c>
      <c r="Q50" s="39">
        <v>46022</v>
      </c>
      <c r="S50" s="29"/>
      <c r="T50" s="46">
        <v>0.2</v>
      </c>
      <c r="U50" s="46">
        <v>0.2</v>
      </c>
      <c r="V50" s="46">
        <v>0.2</v>
      </c>
      <c r="W50" s="47">
        <v>40000</v>
      </c>
      <c r="X50" s="29"/>
      <c r="Y50" s="49">
        <v>15000</v>
      </c>
      <c r="Z50" s="50">
        <v>30000</v>
      </c>
      <c r="AA50" s="47">
        <v>45000</v>
      </c>
      <c r="AB50" s="47">
        <v>5000</v>
      </c>
      <c r="AC50" s="29" t="s">
        <v>418</v>
      </c>
      <c r="AD50" s="29">
        <v>25.89</v>
      </c>
      <c r="AE50" s="29" t="s">
        <v>416</v>
      </c>
      <c r="AF50" s="29"/>
    </row>
    <row r="51" spans="1:32" ht="16.5">
      <c r="A51" s="29">
        <v>176</v>
      </c>
      <c r="B51" s="29">
        <v>176</v>
      </c>
      <c r="C51" s="29" t="s">
        <v>358</v>
      </c>
      <c r="D51" s="44" t="s">
        <v>407</v>
      </c>
      <c r="E51" s="29" t="s">
        <v>358</v>
      </c>
      <c r="F51" s="29"/>
      <c r="G51" s="29"/>
      <c r="H51" s="29"/>
      <c r="I51" s="44"/>
      <c r="J51" s="29"/>
      <c r="K51" s="42">
        <v>100000</v>
      </c>
      <c r="L51" s="42">
        <v>100000</v>
      </c>
      <c r="M51" s="42">
        <v>100000</v>
      </c>
      <c r="N51" s="42">
        <v>100000</v>
      </c>
      <c r="O51" s="36" t="s">
        <v>6</v>
      </c>
      <c r="P51" s="39">
        <v>45767</v>
      </c>
      <c r="Q51" s="39">
        <v>46022</v>
      </c>
      <c r="S51" s="29"/>
      <c r="T51" s="46">
        <v>0.2</v>
      </c>
      <c r="U51" s="46">
        <v>0.2</v>
      </c>
      <c r="V51" s="46">
        <v>0.2</v>
      </c>
      <c r="W51" s="47">
        <v>40000</v>
      </c>
      <c r="X51" s="29"/>
      <c r="Y51" s="49"/>
      <c r="Z51" s="50"/>
      <c r="AA51" s="47"/>
      <c r="AB51" s="47">
        <v>5000</v>
      </c>
      <c r="AC51" s="29" t="s">
        <v>418</v>
      </c>
      <c r="AD51" s="29">
        <v>26.89</v>
      </c>
      <c r="AE51" s="29" t="s">
        <v>416</v>
      </c>
      <c r="AF51" s="29"/>
    </row>
    <row r="52" spans="1:32" ht="16.5">
      <c r="A52" s="29">
        <v>172</v>
      </c>
      <c r="B52" s="29">
        <v>172</v>
      </c>
      <c r="C52" s="29" t="s">
        <v>359</v>
      </c>
      <c r="D52" s="44" t="s">
        <v>407</v>
      </c>
      <c r="E52" s="29" t="s">
        <v>359</v>
      </c>
      <c r="F52" s="41"/>
      <c r="G52" s="29"/>
      <c r="H52" s="29"/>
      <c r="I52" s="44"/>
      <c r="J52" s="29"/>
      <c r="K52" s="42">
        <v>100000</v>
      </c>
      <c r="L52" s="42">
        <v>100000</v>
      </c>
      <c r="M52" s="42">
        <v>100000</v>
      </c>
      <c r="N52" s="42">
        <v>100000</v>
      </c>
      <c r="O52" s="36" t="s">
        <v>6</v>
      </c>
      <c r="P52" s="39">
        <v>45767</v>
      </c>
      <c r="Q52" s="39">
        <v>46022</v>
      </c>
      <c r="S52" s="41"/>
      <c r="T52" s="46">
        <v>0.2</v>
      </c>
      <c r="U52" s="46">
        <v>0.2</v>
      </c>
      <c r="V52" s="46">
        <v>0.2</v>
      </c>
      <c r="W52" s="47">
        <v>40000</v>
      </c>
      <c r="X52" s="29"/>
      <c r="Y52" s="49"/>
      <c r="Z52" s="50"/>
      <c r="AA52" s="47"/>
      <c r="AB52" s="47">
        <v>5000</v>
      </c>
      <c r="AC52" s="29" t="s">
        <v>418</v>
      </c>
      <c r="AD52" s="29">
        <v>27.89</v>
      </c>
      <c r="AE52" s="29" t="s">
        <v>416</v>
      </c>
      <c r="AF52" s="29"/>
    </row>
    <row r="53" spans="1:32" ht="16.5">
      <c r="A53" s="29">
        <v>174</v>
      </c>
      <c r="B53" s="29">
        <v>174</v>
      </c>
      <c r="C53" s="29" t="s">
        <v>360</v>
      </c>
      <c r="D53" s="44" t="s">
        <v>407</v>
      </c>
      <c r="E53" s="29" t="s">
        <v>360</v>
      </c>
      <c r="F53" s="41">
        <v>0.8</v>
      </c>
      <c r="G53" s="29"/>
      <c r="H53" s="29"/>
      <c r="I53" s="44"/>
      <c r="J53" s="29"/>
      <c r="K53" s="42">
        <v>100000</v>
      </c>
      <c r="L53" s="42">
        <v>100000</v>
      </c>
      <c r="M53" s="42">
        <v>100000</v>
      </c>
      <c r="N53" s="42">
        <v>100000</v>
      </c>
      <c r="O53" s="36" t="s">
        <v>6</v>
      </c>
      <c r="P53" s="39">
        <v>45767</v>
      </c>
      <c r="Q53" s="39">
        <v>46022</v>
      </c>
      <c r="S53" s="41">
        <v>1</v>
      </c>
      <c r="T53" s="46">
        <v>0.2</v>
      </c>
      <c r="U53" s="46">
        <v>0.2</v>
      </c>
      <c r="V53" s="46">
        <v>0.2</v>
      </c>
      <c r="W53" s="47">
        <v>40000</v>
      </c>
      <c r="X53" s="29">
        <v>65000</v>
      </c>
      <c r="Y53" s="49"/>
      <c r="Z53" s="50"/>
      <c r="AA53" s="47"/>
      <c r="AB53" s="47">
        <v>5000</v>
      </c>
      <c r="AC53" s="29" t="s">
        <v>418</v>
      </c>
      <c r="AD53" s="29">
        <v>28.89</v>
      </c>
      <c r="AE53" s="29" t="s">
        <v>416</v>
      </c>
      <c r="AF53" s="29"/>
    </row>
    <row r="54" spans="1:32" ht="16.5">
      <c r="A54" s="29">
        <v>170</v>
      </c>
      <c r="B54" s="29">
        <v>170</v>
      </c>
      <c r="C54" s="29" t="s">
        <v>362</v>
      </c>
      <c r="D54" s="44" t="s">
        <v>407</v>
      </c>
      <c r="E54" s="29" t="s">
        <v>362</v>
      </c>
      <c r="F54" s="41">
        <v>1</v>
      </c>
      <c r="G54" s="29"/>
      <c r="H54" s="29"/>
      <c r="I54" s="44"/>
      <c r="J54" s="29"/>
      <c r="K54" s="42">
        <v>100000</v>
      </c>
      <c r="L54" s="42">
        <v>100000</v>
      </c>
      <c r="M54" s="42">
        <v>100000</v>
      </c>
      <c r="N54" s="42">
        <v>100000</v>
      </c>
      <c r="O54" s="36" t="s">
        <v>6</v>
      </c>
      <c r="P54" s="39">
        <v>45767</v>
      </c>
      <c r="Q54" s="39">
        <v>46022</v>
      </c>
      <c r="S54" s="41">
        <v>1</v>
      </c>
      <c r="T54" s="46">
        <v>0.2</v>
      </c>
      <c r="U54" s="46">
        <v>0.2</v>
      </c>
      <c r="V54" s="46">
        <v>0.2</v>
      </c>
      <c r="W54" s="47">
        <v>40000</v>
      </c>
      <c r="X54" s="29"/>
      <c r="Y54" s="49"/>
      <c r="Z54" s="50"/>
      <c r="AA54" s="47"/>
      <c r="AB54" s="47">
        <v>5000</v>
      </c>
      <c r="AC54" s="29" t="s">
        <v>418</v>
      </c>
      <c r="AD54" s="29">
        <v>29.89</v>
      </c>
      <c r="AE54" s="29" t="s">
        <v>416</v>
      </c>
      <c r="AF54" s="29"/>
    </row>
    <row r="55" spans="1:32" ht="16.5">
      <c r="A55" s="29">
        <v>177</v>
      </c>
      <c r="B55" s="29">
        <v>177</v>
      </c>
      <c r="C55" s="29" t="s">
        <v>363</v>
      </c>
      <c r="D55" s="44" t="s">
        <v>407</v>
      </c>
      <c r="E55" s="29" t="s">
        <v>363</v>
      </c>
      <c r="F55" s="41">
        <v>1</v>
      </c>
      <c r="G55" s="29"/>
      <c r="H55" s="29"/>
      <c r="I55" s="44"/>
      <c r="J55" s="29"/>
      <c r="K55" s="42">
        <v>100000</v>
      </c>
      <c r="L55" s="42">
        <v>100000</v>
      </c>
      <c r="M55" s="42">
        <v>100000</v>
      </c>
      <c r="N55" s="42">
        <v>100000</v>
      </c>
      <c r="O55" s="36" t="s">
        <v>6</v>
      </c>
      <c r="P55" s="39">
        <v>45767</v>
      </c>
      <c r="Q55" s="39">
        <v>46022</v>
      </c>
      <c r="S55" s="41">
        <v>1</v>
      </c>
      <c r="T55" s="46">
        <v>0.2</v>
      </c>
      <c r="U55" s="46">
        <v>0.2</v>
      </c>
      <c r="V55" s="46">
        <v>0.2</v>
      </c>
      <c r="W55" s="47">
        <v>40000</v>
      </c>
      <c r="X55" s="29"/>
      <c r="Y55" s="49"/>
      <c r="Z55" s="50"/>
      <c r="AA55" s="47"/>
      <c r="AB55" s="47">
        <v>5000</v>
      </c>
      <c r="AC55" s="29" t="s">
        <v>418</v>
      </c>
      <c r="AD55" s="29">
        <v>30.89</v>
      </c>
      <c r="AE55" s="29" t="s">
        <v>416</v>
      </c>
      <c r="AF55" s="29"/>
    </row>
    <row r="56" spans="1:32" ht="16.5">
      <c r="A56" s="29">
        <v>161</v>
      </c>
      <c r="B56" s="29">
        <v>161</v>
      </c>
      <c r="C56" s="29" t="s">
        <v>364</v>
      </c>
      <c r="D56" s="44" t="s">
        <v>407</v>
      </c>
      <c r="E56" s="29" t="s">
        <v>364</v>
      </c>
      <c r="F56" s="41">
        <v>1</v>
      </c>
      <c r="G56" s="29"/>
      <c r="H56" s="29"/>
      <c r="I56" s="44"/>
      <c r="J56" s="29"/>
      <c r="K56" s="42">
        <v>100000</v>
      </c>
      <c r="L56" s="42">
        <v>100000</v>
      </c>
      <c r="M56" s="42">
        <v>100000</v>
      </c>
      <c r="N56" s="42">
        <v>100000</v>
      </c>
      <c r="O56" s="36" t="s">
        <v>6</v>
      </c>
      <c r="P56" s="39">
        <v>45767</v>
      </c>
      <c r="Q56" s="39">
        <v>46022</v>
      </c>
      <c r="S56" s="41">
        <v>1</v>
      </c>
      <c r="T56" s="46">
        <v>0.2</v>
      </c>
      <c r="U56" s="46">
        <v>0.2</v>
      </c>
      <c r="V56" s="46">
        <v>0.2</v>
      </c>
      <c r="W56" s="47">
        <v>40000</v>
      </c>
      <c r="X56" s="29"/>
      <c r="Y56" s="49"/>
      <c r="Z56" s="50"/>
      <c r="AA56" s="47"/>
      <c r="AB56" s="47">
        <v>5000</v>
      </c>
      <c r="AC56" s="29" t="s">
        <v>418</v>
      </c>
      <c r="AD56" s="29">
        <v>31.89</v>
      </c>
      <c r="AE56" s="29" t="s">
        <v>416</v>
      </c>
      <c r="AF56" s="29"/>
    </row>
    <row r="57" spans="1:32" ht="16.5">
      <c r="A57" s="29">
        <v>166</v>
      </c>
      <c r="B57" s="29">
        <v>166</v>
      </c>
      <c r="C57" s="29" t="s">
        <v>366</v>
      </c>
      <c r="D57" s="44" t="s">
        <v>407</v>
      </c>
      <c r="E57" s="29" t="s">
        <v>366</v>
      </c>
      <c r="F57" s="41">
        <v>1</v>
      </c>
      <c r="G57" s="29"/>
      <c r="H57" s="29"/>
      <c r="I57" s="44"/>
      <c r="J57" s="29"/>
      <c r="K57" s="42">
        <v>100000</v>
      </c>
      <c r="L57" s="42">
        <v>100000</v>
      </c>
      <c r="M57" s="42">
        <v>100000</v>
      </c>
      <c r="N57" s="42">
        <v>100000</v>
      </c>
      <c r="O57" s="36" t="s">
        <v>6</v>
      </c>
      <c r="P57" s="39">
        <v>45767</v>
      </c>
      <c r="Q57" s="39">
        <v>46022</v>
      </c>
      <c r="S57" s="41">
        <v>1</v>
      </c>
      <c r="T57" s="46">
        <v>0.2</v>
      </c>
      <c r="U57" s="46">
        <v>0.2</v>
      </c>
      <c r="V57" s="46">
        <v>0.2</v>
      </c>
      <c r="W57" s="47">
        <v>40000</v>
      </c>
      <c r="X57" s="29"/>
      <c r="Y57" s="49"/>
      <c r="Z57" s="50"/>
      <c r="AA57" s="47"/>
      <c r="AB57" s="47">
        <v>5000</v>
      </c>
      <c r="AC57" s="29" t="s">
        <v>418</v>
      </c>
      <c r="AD57" s="29">
        <v>32.89</v>
      </c>
      <c r="AE57" s="29" t="s">
        <v>416</v>
      </c>
      <c r="AF57" s="29"/>
    </row>
    <row r="58" spans="1:32" ht="16.5">
      <c r="A58" s="29">
        <v>1012</v>
      </c>
      <c r="B58" s="29">
        <v>1012</v>
      </c>
      <c r="C58" s="29" t="s">
        <v>369</v>
      </c>
      <c r="D58" s="44" t="s">
        <v>407</v>
      </c>
      <c r="E58" s="29" t="s">
        <v>369</v>
      </c>
      <c r="F58" s="41">
        <v>1</v>
      </c>
      <c r="G58" s="29"/>
      <c r="H58" s="29"/>
      <c r="I58" s="44"/>
      <c r="J58" s="29"/>
      <c r="K58" s="42">
        <v>100000</v>
      </c>
      <c r="L58" s="42">
        <v>100000</v>
      </c>
      <c r="M58" s="42">
        <v>100000</v>
      </c>
      <c r="N58" s="42">
        <v>100000</v>
      </c>
      <c r="O58" s="36" t="s">
        <v>6</v>
      </c>
      <c r="P58" s="39">
        <v>45767</v>
      </c>
      <c r="Q58" s="39">
        <v>46022</v>
      </c>
      <c r="S58" s="41">
        <v>1</v>
      </c>
      <c r="T58" s="46">
        <v>0.2</v>
      </c>
      <c r="U58" s="46">
        <v>0.2</v>
      </c>
      <c r="V58" s="46">
        <v>0.2</v>
      </c>
      <c r="W58" s="47">
        <v>40000</v>
      </c>
      <c r="X58" s="29">
        <v>75000</v>
      </c>
      <c r="Y58" s="49"/>
      <c r="Z58" s="50"/>
      <c r="AA58" s="47"/>
      <c r="AB58" s="47">
        <v>5000</v>
      </c>
      <c r="AC58" s="29" t="s">
        <v>419</v>
      </c>
      <c r="AD58" s="29">
        <v>33.89</v>
      </c>
      <c r="AE58" s="29" t="s">
        <v>416</v>
      </c>
      <c r="AF58" s="29"/>
    </row>
    <row r="59" spans="1:32" ht="16.5">
      <c r="A59" s="29">
        <v>1043</v>
      </c>
      <c r="B59" s="29">
        <v>1043</v>
      </c>
      <c r="C59" s="29" t="s">
        <v>372</v>
      </c>
      <c r="D59" s="44" t="s">
        <v>407</v>
      </c>
      <c r="E59" s="29" t="s">
        <v>372</v>
      </c>
      <c r="F59" s="41">
        <v>0.5</v>
      </c>
      <c r="G59" s="29"/>
      <c r="H59" s="29"/>
      <c r="I59" s="44"/>
      <c r="J59" s="29"/>
      <c r="K59" s="42">
        <v>100000</v>
      </c>
      <c r="L59" s="42">
        <v>100000</v>
      </c>
      <c r="M59" s="42">
        <v>100000</v>
      </c>
      <c r="N59" s="42">
        <v>100000</v>
      </c>
      <c r="O59" s="36" t="s">
        <v>6</v>
      </c>
      <c r="P59" s="39">
        <v>45767</v>
      </c>
      <c r="Q59" s="39">
        <v>46022</v>
      </c>
      <c r="S59" s="41">
        <v>0.5</v>
      </c>
      <c r="T59" s="46">
        <v>0.2</v>
      </c>
      <c r="U59" s="46">
        <v>0.2</v>
      </c>
      <c r="V59" s="46">
        <v>0.2</v>
      </c>
      <c r="W59" s="47">
        <v>40000</v>
      </c>
      <c r="X59" s="29"/>
      <c r="Y59" s="49"/>
      <c r="Z59" s="50"/>
      <c r="AA59" s="47"/>
      <c r="AB59" s="47">
        <v>5000</v>
      </c>
      <c r="AC59" s="29" t="s">
        <v>420</v>
      </c>
      <c r="AD59" s="29">
        <v>34.89</v>
      </c>
      <c r="AE59" s="29" t="s">
        <v>416</v>
      </c>
      <c r="AF59" s="29"/>
    </row>
    <row r="60" spans="1:32" ht="16.5">
      <c r="A60" s="29">
        <v>1114</v>
      </c>
      <c r="B60" s="29">
        <v>1114</v>
      </c>
      <c r="C60" s="29" t="s">
        <v>374</v>
      </c>
      <c r="D60" s="44" t="s">
        <v>407</v>
      </c>
      <c r="E60" s="29" t="s">
        <v>374</v>
      </c>
      <c r="F60" s="41">
        <v>0.5</v>
      </c>
      <c r="G60" s="29"/>
      <c r="H60" s="29"/>
      <c r="I60" s="44"/>
      <c r="J60" s="29"/>
      <c r="K60" s="42">
        <v>100000</v>
      </c>
      <c r="L60" s="42">
        <v>100000</v>
      </c>
      <c r="M60" s="42">
        <v>100000</v>
      </c>
      <c r="N60" s="42">
        <v>100000</v>
      </c>
      <c r="O60" s="36" t="s">
        <v>6</v>
      </c>
      <c r="P60" s="39">
        <v>45767</v>
      </c>
      <c r="Q60" s="39">
        <v>46022</v>
      </c>
      <c r="S60" s="41">
        <v>0.5</v>
      </c>
      <c r="T60" s="46">
        <v>0.2</v>
      </c>
      <c r="U60" s="46">
        <v>0.2</v>
      </c>
      <c r="V60" s="46">
        <v>0.2</v>
      </c>
      <c r="W60" s="47">
        <v>40000</v>
      </c>
      <c r="X60" s="29"/>
      <c r="Y60" s="49"/>
      <c r="Z60" s="50"/>
      <c r="AA60" s="47"/>
      <c r="AB60" s="47">
        <v>5000</v>
      </c>
      <c r="AC60" s="29" t="s">
        <v>420</v>
      </c>
      <c r="AD60" s="29">
        <v>35.89</v>
      </c>
      <c r="AE60" s="29" t="s">
        <v>416</v>
      </c>
      <c r="AF60" s="29" t="s">
        <v>226</v>
      </c>
    </row>
    <row r="61" spans="1:32" ht="16.5">
      <c r="A61" s="29">
        <v>2168</v>
      </c>
      <c r="B61" s="29">
        <v>2168</v>
      </c>
      <c r="C61" s="29" t="s">
        <v>375</v>
      </c>
      <c r="D61" s="44" t="s">
        <v>407</v>
      </c>
      <c r="E61" s="29" t="s">
        <v>375</v>
      </c>
      <c r="F61" s="41">
        <v>1</v>
      </c>
      <c r="G61" s="29">
        <v>1113</v>
      </c>
      <c r="H61" s="44" t="s">
        <v>328</v>
      </c>
      <c r="I61" s="44"/>
      <c r="J61" s="29"/>
      <c r="K61" s="42">
        <v>100000</v>
      </c>
      <c r="L61" s="42">
        <v>100000</v>
      </c>
      <c r="M61" s="42">
        <v>100000</v>
      </c>
      <c r="N61" s="42">
        <v>100000</v>
      </c>
      <c r="O61" s="36" t="s">
        <v>6</v>
      </c>
      <c r="P61" s="39">
        <v>45767</v>
      </c>
      <c r="Q61" s="39">
        <v>46022</v>
      </c>
      <c r="S61" s="41">
        <v>1</v>
      </c>
      <c r="T61" s="46">
        <v>0.2</v>
      </c>
      <c r="U61" s="46">
        <v>0.2</v>
      </c>
      <c r="V61" s="46">
        <v>0.2</v>
      </c>
      <c r="W61" s="47">
        <v>40000</v>
      </c>
      <c r="X61" s="29"/>
      <c r="Y61" s="49"/>
      <c r="Z61" s="50"/>
      <c r="AA61" s="47"/>
      <c r="AB61" s="47">
        <v>5000</v>
      </c>
      <c r="AC61" s="29" t="s">
        <v>420</v>
      </c>
      <c r="AD61" s="29">
        <v>36.89</v>
      </c>
      <c r="AE61" s="29" t="s">
        <v>416</v>
      </c>
      <c r="AF61" s="29"/>
    </row>
    <row r="62" spans="1:32" ht="16.5">
      <c r="A62" s="29">
        <v>2167</v>
      </c>
      <c r="B62" s="29">
        <v>2167</v>
      </c>
      <c r="C62" s="29" t="s">
        <v>378</v>
      </c>
      <c r="D62" s="44" t="s">
        <v>407</v>
      </c>
      <c r="E62" s="29" t="s">
        <v>378</v>
      </c>
      <c r="F62" s="41">
        <v>1</v>
      </c>
      <c r="G62" s="29">
        <v>1113</v>
      </c>
      <c r="H62" s="44" t="s">
        <v>328</v>
      </c>
      <c r="I62" s="44"/>
      <c r="J62" s="29"/>
      <c r="K62" s="42">
        <v>100000</v>
      </c>
      <c r="L62" s="42">
        <v>100000</v>
      </c>
      <c r="M62" s="42">
        <v>100000</v>
      </c>
      <c r="N62" s="42">
        <v>100000</v>
      </c>
      <c r="O62" s="36" t="s">
        <v>6</v>
      </c>
      <c r="P62" s="39">
        <v>45767</v>
      </c>
      <c r="Q62" s="39">
        <v>46022</v>
      </c>
      <c r="S62" s="41">
        <v>1</v>
      </c>
      <c r="T62" s="46">
        <v>0.2</v>
      </c>
      <c r="U62" s="46">
        <v>0.2</v>
      </c>
      <c r="V62" s="46">
        <v>0.2</v>
      </c>
      <c r="W62" s="47">
        <v>40000</v>
      </c>
      <c r="X62" s="29"/>
      <c r="Y62" s="49"/>
      <c r="Z62" s="50"/>
      <c r="AA62" s="47"/>
      <c r="AB62" s="47">
        <v>5000</v>
      </c>
      <c r="AC62" s="29" t="s">
        <v>420</v>
      </c>
      <c r="AD62" s="29">
        <v>37.89</v>
      </c>
      <c r="AE62" s="29" t="s">
        <v>416</v>
      </c>
      <c r="AF62" s="29"/>
    </row>
    <row r="63" spans="1:32" ht="16.5">
      <c r="A63" s="29">
        <v>2000</v>
      </c>
      <c r="B63" s="29">
        <v>2000</v>
      </c>
      <c r="C63" s="29" t="s">
        <v>380</v>
      </c>
      <c r="D63" s="44" t="s">
        <v>407</v>
      </c>
      <c r="E63" s="29" t="s">
        <v>380</v>
      </c>
      <c r="F63" s="41">
        <v>1</v>
      </c>
      <c r="G63" s="29">
        <v>1113</v>
      </c>
      <c r="H63" s="44" t="s">
        <v>328</v>
      </c>
      <c r="I63" s="44"/>
      <c r="J63" s="29"/>
      <c r="K63" s="42">
        <v>100000</v>
      </c>
      <c r="L63" s="42">
        <v>100000</v>
      </c>
      <c r="M63" s="42">
        <v>100000</v>
      </c>
      <c r="N63" s="42">
        <v>100000</v>
      </c>
      <c r="O63" s="36" t="s">
        <v>6</v>
      </c>
      <c r="P63" s="39">
        <v>45767</v>
      </c>
      <c r="Q63" s="39">
        <v>46022</v>
      </c>
      <c r="S63" s="41">
        <v>1</v>
      </c>
      <c r="T63" s="46">
        <v>0.2</v>
      </c>
      <c r="U63" s="46">
        <v>0.2</v>
      </c>
      <c r="V63" s="46">
        <v>0.2</v>
      </c>
      <c r="W63" s="47">
        <v>40000</v>
      </c>
      <c r="X63" s="29"/>
      <c r="Y63" s="49"/>
      <c r="Z63" s="50"/>
      <c r="AA63" s="47"/>
      <c r="AB63" s="47">
        <v>5000</v>
      </c>
      <c r="AC63" s="29" t="s">
        <v>420</v>
      </c>
      <c r="AD63" s="29">
        <v>38.89</v>
      </c>
      <c r="AE63" s="29" t="s">
        <v>416</v>
      </c>
      <c r="AF63" s="29"/>
    </row>
    <row r="64" spans="1:32" ht="16.5">
      <c r="A64" s="29">
        <v>2001</v>
      </c>
      <c r="B64" s="29">
        <v>2001</v>
      </c>
      <c r="C64" s="29" t="s">
        <v>381</v>
      </c>
      <c r="D64" s="44" t="s">
        <v>407</v>
      </c>
      <c r="E64" s="29" t="s">
        <v>381</v>
      </c>
      <c r="F64" s="41">
        <v>1</v>
      </c>
      <c r="G64" s="29">
        <v>1113</v>
      </c>
      <c r="H64" s="44" t="s">
        <v>328</v>
      </c>
      <c r="I64" s="44"/>
      <c r="J64" s="29"/>
      <c r="K64" s="42">
        <v>100000</v>
      </c>
      <c r="L64" s="42">
        <v>100000</v>
      </c>
      <c r="M64" s="42">
        <v>100000</v>
      </c>
      <c r="N64" s="42">
        <v>100000</v>
      </c>
      <c r="O64" s="36" t="s">
        <v>6</v>
      </c>
      <c r="P64" s="39">
        <v>45767</v>
      </c>
      <c r="Q64" s="39">
        <v>46022</v>
      </c>
      <c r="S64" s="41">
        <v>1</v>
      </c>
      <c r="T64" s="46">
        <v>0.2</v>
      </c>
      <c r="U64" s="46">
        <v>0.2</v>
      </c>
      <c r="V64" s="46">
        <v>0.2</v>
      </c>
      <c r="W64" s="47">
        <v>40000</v>
      </c>
      <c r="X64" s="29">
        <v>20000</v>
      </c>
      <c r="Y64" s="49"/>
      <c r="Z64" s="50"/>
      <c r="AA64" s="47"/>
      <c r="AB64" s="47">
        <v>5000</v>
      </c>
      <c r="AC64" s="29" t="s">
        <v>420</v>
      </c>
      <c r="AD64" s="29">
        <v>39.89</v>
      </c>
      <c r="AE64" s="29" t="s">
        <v>416</v>
      </c>
      <c r="AF64" s="29"/>
    </row>
    <row r="65" spans="1:32" ht="16.5">
      <c r="A65" s="38">
        <v>2166</v>
      </c>
      <c r="B65" s="38">
        <v>2166</v>
      </c>
      <c r="C65" s="38" t="s">
        <v>382</v>
      </c>
      <c r="D65" s="44" t="s">
        <v>407</v>
      </c>
      <c r="E65" s="38" t="s">
        <v>382</v>
      </c>
      <c r="F65" s="41">
        <v>1</v>
      </c>
      <c r="G65" s="29"/>
      <c r="H65" s="29"/>
      <c r="I65" s="44"/>
      <c r="J65" s="29"/>
      <c r="K65" s="42">
        <v>100000</v>
      </c>
      <c r="L65" s="42">
        <v>100000</v>
      </c>
      <c r="M65" s="42">
        <v>100000</v>
      </c>
      <c r="N65" s="42">
        <v>100000</v>
      </c>
      <c r="O65" s="36" t="s">
        <v>6</v>
      </c>
      <c r="P65" s="39">
        <v>45767</v>
      </c>
      <c r="Q65" s="39">
        <v>46022</v>
      </c>
      <c r="S65" s="41">
        <v>1</v>
      </c>
      <c r="T65" s="46">
        <v>0.2</v>
      </c>
      <c r="U65" s="46">
        <v>0.2</v>
      </c>
      <c r="V65" s="46">
        <v>0.2</v>
      </c>
      <c r="W65" s="47">
        <v>40000</v>
      </c>
      <c r="X65" s="29"/>
      <c r="Y65" s="49"/>
      <c r="Z65" s="50"/>
      <c r="AA65" s="47"/>
      <c r="AB65" s="47">
        <v>5000</v>
      </c>
      <c r="AC65" s="29" t="s">
        <v>420</v>
      </c>
      <c r="AD65" s="29">
        <v>40.89</v>
      </c>
      <c r="AE65" s="29" t="s">
        <v>408</v>
      </c>
      <c r="AF65" s="29"/>
    </row>
    <row r="66" spans="1:32" ht="16.5">
      <c r="A66" s="38">
        <v>2166</v>
      </c>
      <c r="B66" s="38">
        <v>2166</v>
      </c>
      <c r="C66" s="38" t="s">
        <v>382</v>
      </c>
      <c r="D66" s="44" t="s">
        <v>407</v>
      </c>
      <c r="E66" s="38" t="s">
        <v>382</v>
      </c>
      <c r="F66" s="29"/>
      <c r="G66" s="29"/>
      <c r="H66" s="29"/>
      <c r="I66" s="44"/>
      <c r="J66" s="29"/>
      <c r="K66" s="42">
        <v>100000</v>
      </c>
      <c r="L66" s="42">
        <v>100000</v>
      </c>
      <c r="M66" s="42">
        <v>100000</v>
      </c>
      <c r="N66" s="42">
        <v>100000</v>
      </c>
      <c r="O66" s="36" t="s">
        <v>6</v>
      </c>
      <c r="P66" s="39">
        <v>45767</v>
      </c>
      <c r="Q66" s="39">
        <v>46022</v>
      </c>
      <c r="S66" s="29"/>
      <c r="T66" s="36"/>
      <c r="U66" s="36"/>
      <c r="V66" s="36"/>
      <c r="W66" s="36"/>
      <c r="X66" s="29"/>
      <c r="Y66" s="49"/>
      <c r="Z66" s="50"/>
      <c r="AA66" s="47"/>
      <c r="AB66" s="47">
        <v>5000</v>
      </c>
      <c r="AC66" s="29" t="s">
        <v>420</v>
      </c>
      <c r="AD66" s="29">
        <v>41.89</v>
      </c>
      <c r="AE66" s="29"/>
      <c r="AF66" s="29"/>
    </row>
    <row r="67" spans="1:32" ht="15" customHeight="1">
      <c r="F67" s="12"/>
    </row>
    <row r="68" spans="1:32" ht="15" customHeight="1">
      <c r="F68" s="12"/>
    </row>
    <row r="69" spans="1:32" ht="15" customHeight="1">
      <c r="F69" s="12"/>
      <c r="P69" s="48"/>
      <c r="Q69" s="39"/>
    </row>
    <row r="70" spans="1:32" ht="15" customHeight="1">
      <c r="F70" s="12"/>
      <c r="P70" s="48"/>
      <c r="Q70" s="39"/>
    </row>
  </sheetData>
  <autoFilter ref="B1:Z66" xr:uid="{8DFA97BA-D29D-430F-B7E6-B698584CE9E5}"/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3FBB-7FC3-4733-8E2D-79B93F3FE493}">
  <dimension ref="A1:AC20"/>
  <sheetViews>
    <sheetView tabSelected="1" workbookViewId="0">
      <selection activeCell="G22" sqref="G22"/>
    </sheetView>
  </sheetViews>
  <sheetFormatPr defaultRowHeight="15" customHeight="1"/>
  <cols>
    <col min="1" max="1" width="11.5703125" bestFit="1" customWidth="1"/>
    <col min="2" max="2" width="17.42578125" customWidth="1"/>
    <col min="3" max="4" width="16.28515625" bestFit="1" customWidth="1"/>
    <col min="5" max="5" width="22.28515625" customWidth="1"/>
    <col min="6" max="6" width="13.28515625" bestFit="1" customWidth="1"/>
    <col min="7" max="7" width="12.140625" bestFit="1" customWidth="1"/>
    <col min="8" max="8" width="17.7109375" customWidth="1"/>
    <col min="9" max="9" width="13" bestFit="1" customWidth="1"/>
    <col min="10" max="10" width="12.7109375" customWidth="1"/>
    <col min="11" max="12" width="19.85546875" customWidth="1"/>
    <col min="13" max="13" width="21.28515625" customWidth="1"/>
    <col min="14" max="14" width="26.28515625" customWidth="1"/>
    <col min="15" max="15" width="28" bestFit="1" customWidth="1"/>
    <col min="16" max="16" width="10.140625" customWidth="1"/>
    <col min="17" max="17" width="15.5703125" customWidth="1"/>
    <col min="18" max="18" width="13.140625" customWidth="1"/>
    <col min="19" max="19" width="30" customWidth="1"/>
    <col min="20" max="20" width="16.85546875" customWidth="1"/>
    <col min="21" max="21" width="15.42578125" customWidth="1"/>
    <col min="22" max="22" width="22.28515625" customWidth="1"/>
    <col min="23" max="23" width="23.28515625" customWidth="1"/>
    <col min="24" max="24" width="15.140625" bestFit="1" customWidth="1"/>
    <col min="25" max="25" width="9.28515625" bestFit="1" customWidth="1"/>
    <col min="26" max="26" width="17" bestFit="1" customWidth="1"/>
    <col min="27" max="27" width="19.5703125" bestFit="1" customWidth="1"/>
    <col min="28" max="28" width="21.42578125" bestFit="1" customWidth="1"/>
    <col min="29" max="29" width="21.7109375" bestFit="1" customWidth="1"/>
  </cols>
  <sheetData>
    <row r="1" spans="1:29" ht="22.5" customHeight="1">
      <c r="A1" s="29" t="s">
        <v>128</v>
      </c>
      <c r="B1" s="29" t="s">
        <v>129</v>
      </c>
      <c r="C1" s="29" t="s">
        <v>130</v>
      </c>
      <c r="D1" s="29" t="s">
        <v>131</v>
      </c>
      <c r="E1" s="44" t="s">
        <v>421</v>
      </c>
      <c r="F1" s="29" t="s">
        <v>422</v>
      </c>
      <c r="G1" s="29" t="s">
        <v>423</v>
      </c>
      <c r="H1" s="29" t="s">
        <v>0</v>
      </c>
      <c r="I1" s="29" t="s">
        <v>424</v>
      </c>
      <c r="J1" s="29" t="s">
        <v>425</v>
      </c>
      <c r="K1" s="29" t="s">
        <v>426</v>
      </c>
      <c r="L1" s="29" t="s">
        <v>427</v>
      </c>
      <c r="M1" s="29" t="s">
        <v>428</v>
      </c>
      <c r="N1" s="29" t="s">
        <v>141</v>
      </c>
      <c r="O1" s="29" t="s">
        <v>144</v>
      </c>
      <c r="P1" s="44" t="s">
        <v>387</v>
      </c>
      <c r="Q1" s="44" t="s">
        <v>388</v>
      </c>
      <c r="S1" s="44" t="s">
        <v>429</v>
      </c>
      <c r="T1" s="44" t="s">
        <v>430</v>
      </c>
      <c r="U1" s="44" t="s">
        <v>431</v>
      </c>
      <c r="V1" s="29" t="s">
        <v>432</v>
      </c>
      <c r="W1" s="29" t="s">
        <v>433</v>
      </c>
      <c r="X1" s="29" t="s">
        <v>434</v>
      </c>
      <c r="Y1" s="29" t="s">
        <v>435</v>
      </c>
      <c r="Z1" s="29" t="s">
        <v>436</v>
      </c>
      <c r="AA1" s="29" t="s">
        <v>437</v>
      </c>
      <c r="AB1" s="29" t="s">
        <v>438</v>
      </c>
      <c r="AC1" t="s">
        <v>439</v>
      </c>
    </row>
    <row r="2" spans="1:29">
      <c r="A2" s="29">
        <v>161</v>
      </c>
      <c r="B2" s="29">
        <v>161</v>
      </c>
      <c r="C2" s="29" t="s">
        <v>364</v>
      </c>
      <c r="D2" s="29" t="s">
        <v>364</v>
      </c>
      <c r="E2" s="52">
        <v>1</v>
      </c>
      <c r="F2" s="29" t="s">
        <v>440</v>
      </c>
      <c r="G2" s="42">
        <v>100000</v>
      </c>
      <c r="H2" s="29" t="s">
        <v>22</v>
      </c>
      <c r="I2" s="39">
        <v>45767</v>
      </c>
      <c r="J2" s="39">
        <v>46022</v>
      </c>
      <c r="K2" s="41">
        <v>0.1</v>
      </c>
      <c r="L2" s="51">
        <v>20000</v>
      </c>
      <c r="M2" s="51">
        <v>20000</v>
      </c>
      <c r="N2" s="29"/>
      <c r="O2" s="29"/>
      <c r="P2" s="44"/>
      <c r="Q2" s="44"/>
      <c r="S2" s="44">
        <v>35000</v>
      </c>
      <c r="T2" s="44">
        <v>40</v>
      </c>
      <c r="U2" s="44">
        <v>10000</v>
      </c>
      <c r="V2" s="29" t="s">
        <v>226</v>
      </c>
      <c r="W2" s="29">
        <v>4</v>
      </c>
      <c r="X2" s="29" t="s">
        <v>441</v>
      </c>
      <c r="Y2" s="29">
        <v>8.5</v>
      </c>
      <c r="Z2" s="29" t="s">
        <v>442</v>
      </c>
      <c r="AA2" s="29"/>
      <c r="AB2" s="29">
        <v>15000</v>
      </c>
      <c r="AC2">
        <v>45000</v>
      </c>
    </row>
    <row r="3" spans="1:29">
      <c r="A3" s="29">
        <v>167</v>
      </c>
      <c r="B3" s="29">
        <v>167</v>
      </c>
      <c r="C3" s="29" t="s">
        <v>346</v>
      </c>
      <c r="D3" s="29" t="s">
        <v>346</v>
      </c>
      <c r="E3" s="52">
        <v>1</v>
      </c>
      <c r="F3" s="29" t="s">
        <v>440</v>
      </c>
      <c r="G3" s="42">
        <v>100000</v>
      </c>
      <c r="H3" s="29" t="s">
        <v>22</v>
      </c>
      <c r="I3" s="39">
        <v>45767</v>
      </c>
      <c r="J3" s="39">
        <v>46022</v>
      </c>
      <c r="K3" s="41">
        <v>0.1</v>
      </c>
      <c r="L3" s="51">
        <v>20000</v>
      </c>
      <c r="M3" s="51">
        <v>20000</v>
      </c>
      <c r="N3" s="29"/>
      <c r="O3" s="29"/>
      <c r="P3" s="44"/>
      <c r="Q3" s="44"/>
      <c r="S3" s="44"/>
      <c r="T3" s="44">
        <v>41</v>
      </c>
      <c r="U3" s="44">
        <v>10000</v>
      </c>
      <c r="V3" s="29" t="s">
        <v>208</v>
      </c>
      <c r="W3" s="29">
        <v>5</v>
      </c>
      <c r="X3" s="29" t="s">
        <v>443</v>
      </c>
      <c r="Y3" s="29">
        <v>9.5</v>
      </c>
      <c r="Z3" s="29" t="s">
        <v>442</v>
      </c>
      <c r="AA3" s="29"/>
      <c r="AB3" s="29">
        <v>15000</v>
      </c>
      <c r="AC3">
        <v>45000</v>
      </c>
    </row>
    <row r="4" spans="1:29">
      <c r="A4" s="29">
        <v>86</v>
      </c>
      <c r="B4" s="29">
        <v>86</v>
      </c>
      <c r="C4" s="29" t="s">
        <v>310</v>
      </c>
      <c r="D4" s="29" t="s">
        <v>310</v>
      </c>
      <c r="E4" s="52">
        <v>1</v>
      </c>
      <c r="F4" s="29" t="s">
        <v>440</v>
      </c>
      <c r="G4" s="42">
        <v>100000</v>
      </c>
      <c r="H4" s="29" t="s">
        <v>6</v>
      </c>
      <c r="I4" s="39">
        <v>45767</v>
      </c>
      <c r="J4" s="39">
        <v>46022</v>
      </c>
      <c r="K4" s="41">
        <v>0.1</v>
      </c>
      <c r="L4" s="51">
        <v>20000</v>
      </c>
      <c r="M4" s="51">
        <v>20000</v>
      </c>
      <c r="N4" s="29"/>
      <c r="O4" s="29"/>
      <c r="P4" s="44"/>
      <c r="Q4" s="44"/>
      <c r="S4" s="44"/>
      <c r="T4" s="44">
        <v>45</v>
      </c>
      <c r="U4" s="53">
        <v>55890</v>
      </c>
      <c r="V4" s="29" t="s">
        <v>444</v>
      </c>
      <c r="W4" s="29">
        <v>9</v>
      </c>
      <c r="X4" s="29" t="s">
        <v>443</v>
      </c>
      <c r="Y4" s="29">
        <v>13.5</v>
      </c>
      <c r="Z4" s="29" t="s">
        <v>442</v>
      </c>
      <c r="AA4" s="29"/>
      <c r="AB4" s="29">
        <v>15000</v>
      </c>
      <c r="AC4">
        <v>45000</v>
      </c>
    </row>
    <row r="5" spans="1:29">
      <c r="A5" s="29">
        <v>1121</v>
      </c>
      <c r="B5" s="29">
        <v>1121</v>
      </c>
      <c r="C5" s="29" t="s">
        <v>327</v>
      </c>
      <c r="D5" s="29" t="s">
        <v>327</v>
      </c>
      <c r="E5" s="52">
        <v>1</v>
      </c>
      <c r="F5" s="29" t="s">
        <v>440</v>
      </c>
      <c r="G5" s="42">
        <v>100000</v>
      </c>
      <c r="H5" s="29" t="s">
        <v>6</v>
      </c>
      <c r="I5" s="39">
        <v>45767</v>
      </c>
      <c r="J5" s="39">
        <v>46022</v>
      </c>
      <c r="K5" s="41">
        <v>0.1</v>
      </c>
      <c r="L5" s="51">
        <v>20000</v>
      </c>
      <c r="M5" s="51">
        <v>20000</v>
      </c>
      <c r="N5" s="29"/>
      <c r="O5" s="29"/>
      <c r="P5" s="44"/>
      <c r="Q5" s="44"/>
      <c r="S5" s="44">
        <v>25000</v>
      </c>
      <c r="T5" s="44">
        <v>47</v>
      </c>
      <c r="U5" s="53">
        <v>55890</v>
      </c>
      <c r="V5" s="29" t="s">
        <v>445</v>
      </c>
      <c r="W5" s="29">
        <v>11</v>
      </c>
      <c r="X5" s="29" t="s">
        <v>443</v>
      </c>
      <c r="Y5" s="29">
        <v>15.5</v>
      </c>
      <c r="Z5" s="29" t="s">
        <v>442</v>
      </c>
      <c r="AA5" s="29"/>
      <c r="AB5" s="29">
        <v>15000</v>
      </c>
      <c r="AC5">
        <v>45000</v>
      </c>
    </row>
    <row r="6" spans="1:29">
      <c r="A6" s="29">
        <v>72</v>
      </c>
      <c r="B6" s="29">
        <v>72</v>
      </c>
      <c r="C6" s="29" t="s">
        <v>319</v>
      </c>
      <c r="D6" s="29" t="s">
        <v>319</v>
      </c>
      <c r="E6" s="52">
        <v>1</v>
      </c>
      <c r="F6" s="29" t="s">
        <v>440</v>
      </c>
      <c r="G6" s="42">
        <v>100000</v>
      </c>
      <c r="H6" s="29" t="s">
        <v>6</v>
      </c>
      <c r="I6" s="39">
        <v>45767</v>
      </c>
      <c r="J6" s="39">
        <v>46022</v>
      </c>
      <c r="K6" s="41">
        <v>0.1</v>
      </c>
      <c r="L6" s="51">
        <v>20000</v>
      </c>
      <c r="M6" s="51">
        <v>20000</v>
      </c>
      <c r="N6" s="29"/>
      <c r="O6" s="29"/>
      <c r="P6" s="44"/>
      <c r="Q6" s="44"/>
      <c r="S6" s="44"/>
      <c r="T6" s="44">
        <v>48</v>
      </c>
      <c r="U6" s="53">
        <v>55890</v>
      </c>
      <c r="V6" s="29" t="s">
        <v>444</v>
      </c>
      <c r="W6" s="29">
        <v>12</v>
      </c>
      <c r="X6" s="29" t="s">
        <v>443</v>
      </c>
      <c r="Y6" s="29">
        <v>16.5</v>
      </c>
      <c r="Z6" s="29" t="s">
        <v>442</v>
      </c>
      <c r="AA6" s="29"/>
      <c r="AB6" s="29">
        <v>15000</v>
      </c>
      <c r="AC6">
        <v>45000</v>
      </c>
    </row>
    <row r="7" spans="1:29">
      <c r="A7" s="29">
        <v>162</v>
      </c>
      <c r="B7" s="29">
        <v>162</v>
      </c>
      <c r="C7" s="29" t="s">
        <v>324</v>
      </c>
      <c r="D7" s="29" t="s">
        <v>324</v>
      </c>
      <c r="E7" s="52">
        <v>1</v>
      </c>
      <c r="F7" s="29" t="s">
        <v>440</v>
      </c>
      <c r="G7" s="42">
        <v>100000</v>
      </c>
      <c r="H7" s="29" t="s">
        <v>9</v>
      </c>
      <c r="I7" s="39">
        <v>45767</v>
      </c>
      <c r="J7" s="39">
        <v>46022</v>
      </c>
      <c r="K7" s="41">
        <v>0.1</v>
      </c>
      <c r="L7" s="51">
        <v>20000</v>
      </c>
      <c r="M7" s="51">
        <v>20000</v>
      </c>
      <c r="N7" s="29"/>
      <c r="O7" s="29"/>
      <c r="P7" s="44"/>
      <c r="Q7" s="44"/>
      <c r="S7" s="44">
        <v>25000</v>
      </c>
      <c r="T7" s="44">
        <v>55</v>
      </c>
      <c r="U7" s="53">
        <v>55890</v>
      </c>
      <c r="V7" s="29" t="s">
        <v>444</v>
      </c>
      <c r="W7" s="29" t="s">
        <v>413</v>
      </c>
      <c r="X7" s="29" t="s">
        <v>446</v>
      </c>
      <c r="Y7" s="29">
        <v>23.5</v>
      </c>
      <c r="Z7" s="29" t="s">
        <v>442</v>
      </c>
      <c r="AA7" s="29"/>
      <c r="AB7" s="29">
        <v>15000</v>
      </c>
      <c r="AC7">
        <v>45000</v>
      </c>
    </row>
    <row r="8" spans="1:29">
      <c r="A8" s="29">
        <v>73</v>
      </c>
      <c r="B8" s="29">
        <v>73</v>
      </c>
      <c r="C8" s="29" t="s">
        <v>253</v>
      </c>
      <c r="D8" s="29" t="s">
        <v>253</v>
      </c>
      <c r="E8" s="52">
        <v>1</v>
      </c>
      <c r="F8" s="29" t="s">
        <v>440</v>
      </c>
      <c r="G8" s="42">
        <v>100000</v>
      </c>
      <c r="H8" s="29" t="s">
        <v>9</v>
      </c>
      <c r="I8" s="39">
        <v>45767</v>
      </c>
      <c r="J8" s="39">
        <v>46022</v>
      </c>
      <c r="K8" s="41">
        <v>0.1</v>
      </c>
      <c r="L8" s="51">
        <v>20000</v>
      </c>
      <c r="M8" s="51">
        <v>20000</v>
      </c>
      <c r="N8" s="29"/>
      <c r="O8" s="29"/>
      <c r="P8" s="44"/>
      <c r="Q8" s="44"/>
      <c r="S8" s="44"/>
      <c r="T8" s="44">
        <v>50.65</v>
      </c>
      <c r="U8" s="53">
        <v>55890</v>
      </c>
      <c r="V8" s="29" t="s">
        <v>444</v>
      </c>
      <c r="W8" s="29" t="s">
        <v>413</v>
      </c>
      <c r="X8" s="29" t="s">
        <v>446</v>
      </c>
      <c r="Y8" s="29">
        <v>25.5</v>
      </c>
      <c r="Z8" s="29" t="s">
        <v>442</v>
      </c>
      <c r="AA8" s="29"/>
      <c r="AB8" s="29">
        <v>15000</v>
      </c>
      <c r="AC8">
        <v>45000</v>
      </c>
    </row>
    <row r="9" spans="1:29">
      <c r="A9" s="29">
        <v>1113</v>
      </c>
      <c r="B9" s="29">
        <v>1113</v>
      </c>
      <c r="C9" s="29" t="s">
        <v>350</v>
      </c>
      <c r="D9" s="29" t="s">
        <v>350</v>
      </c>
      <c r="E9" s="52">
        <v>1</v>
      </c>
      <c r="F9" s="29" t="s">
        <v>440</v>
      </c>
      <c r="G9" s="42">
        <v>100000</v>
      </c>
      <c r="H9" s="29" t="s">
        <v>16</v>
      </c>
      <c r="I9" s="39">
        <v>45767</v>
      </c>
      <c r="J9" s="39">
        <v>46022</v>
      </c>
      <c r="K9" s="41">
        <v>0.1</v>
      </c>
      <c r="L9" s="51">
        <v>20000</v>
      </c>
      <c r="M9" s="51">
        <v>20000</v>
      </c>
      <c r="N9" s="29"/>
      <c r="O9" s="29"/>
      <c r="P9" s="44"/>
      <c r="Q9" s="44"/>
      <c r="S9" s="44">
        <v>30000</v>
      </c>
      <c r="T9" s="53">
        <v>60123</v>
      </c>
      <c r="U9" s="53">
        <v>55890</v>
      </c>
      <c r="V9" s="29" t="s">
        <v>208</v>
      </c>
      <c r="W9" s="29">
        <v>10.5</v>
      </c>
      <c r="X9" s="29" t="s">
        <v>447</v>
      </c>
      <c r="Y9" s="29">
        <v>28.5</v>
      </c>
      <c r="Z9" s="29" t="s">
        <v>448</v>
      </c>
      <c r="AA9" s="29"/>
      <c r="AB9" s="29">
        <v>15000</v>
      </c>
      <c r="AC9">
        <v>45000</v>
      </c>
    </row>
    <row r="10" spans="1:29" ht="16.5">
      <c r="A10" s="29">
        <v>2004</v>
      </c>
      <c r="B10" s="29">
        <v>2004</v>
      </c>
      <c r="C10" s="29" t="s">
        <v>409</v>
      </c>
      <c r="D10" s="29" t="s">
        <v>409</v>
      </c>
      <c r="E10" s="52">
        <v>1</v>
      </c>
      <c r="F10" s="29" t="s">
        <v>440</v>
      </c>
      <c r="G10" s="42">
        <v>100000</v>
      </c>
      <c r="H10" s="29" t="s">
        <v>16</v>
      </c>
      <c r="I10" s="39">
        <v>45767</v>
      </c>
      <c r="J10" s="39">
        <v>46022</v>
      </c>
      <c r="K10" s="41">
        <v>0.1</v>
      </c>
      <c r="L10" s="51">
        <v>20000</v>
      </c>
      <c r="M10" s="51">
        <v>20000</v>
      </c>
      <c r="N10" s="29">
        <v>1113</v>
      </c>
      <c r="O10" s="44" t="s">
        <v>328</v>
      </c>
      <c r="P10" s="44"/>
      <c r="Q10" s="44"/>
      <c r="S10" s="44"/>
      <c r="T10" s="53">
        <v>60123</v>
      </c>
      <c r="U10" s="53">
        <v>55890</v>
      </c>
      <c r="V10" s="29" t="s">
        <v>208</v>
      </c>
      <c r="W10" s="29">
        <v>10.5</v>
      </c>
      <c r="X10" s="29" t="s">
        <v>447</v>
      </c>
      <c r="Y10" s="29">
        <v>29.5</v>
      </c>
      <c r="Z10" s="29" t="s">
        <v>448</v>
      </c>
      <c r="AA10" s="29"/>
      <c r="AB10" s="29">
        <v>15000</v>
      </c>
      <c r="AC10">
        <v>45000</v>
      </c>
    </row>
    <row r="11" spans="1:29" ht="16.5">
      <c r="A11" s="29">
        <v>2002</v>
      </c>
      <c r="B11" s="29">
        <v>2002</v>
      </c>
      <c r="C11" s="29" t="s">
        <v>185</v>
      </c>
      <c r="D11" s="29" t="s">
        <v>185</v>
      </c>
      <c r="E11" s="52">
        <v>1</v>
      </c>
      <c r="F11" s="29" t="s">
        <v>440</v>
      </c>
      <c r="G11" s="42">
        <v>100000</v>
      </c>
      <c r="H11" s="29" t="s">
        <v>16</v>
      </c>
      <c r="I11" s="39">
        <v>45767</v>
      </c>
      <c r="J11" s="39">
        <v>46022</v>
      </c>
      <c r="K11" s="41">
        <v>0.1</v>
      </c>
      <c r="L11" s="51">
        <v>20000</v>
      </c>
      <c r="M11" s="51">
        <v>20000</v>
      </c>
      <c r="N11" s="29">
        <v>1113</v>
      </c>
      <c r="O11" s="44" t="s">
        <v>328</v>
      </c>
      <c r="P11" s="44"/>
      <c r="Q11" s="44"/>
      <c r="S11" s="44">
        <v>15000</v>
      </c>
      <c r="T11" s="53">
        <v>60123</v>
      </c>
      <c r="U11" s="53">
        <v>55890</v>
      </c>
      <c r="V11" s="29" t="s">
        <v>208</v>
      </c>
      <c r="W11" s="29" t="s">
        <v>226</v>
      </c>
      <c r="X11" s="29" t="s">
        <v>447</v>
      </c>
      <c r="Y11" s="29">
        <v>30.5</v>
      </c>
      <c r="Z11" s="29" t="s">
        <v>448</v>
      </c>
      <c r="AA11" s="29"/>
      <c r="AB11" s="29">
        <v>15000</v>
      </c>
      <c r="AC11">
        <v>45000</v>
      </c>
    </row>
    <row r="12" spans="1:29">
      <c r="A12" s="29">
        <v>166</v>
      </c>
      <c r="B12" s="29">
        <v>166</v>
      </c>
      <c r="C12" s="29" t="s">
        <v>366</v>
      </c>
      <c r="D12" s="29" t="s">
        <v>366</v>
      </c>
      <c r="E12" s="52">
        <v>1</v>
      </c>
      <c r="F12" s="29" t="s">
        <v>440</v>
      </c>
      <c r="G12" s="42">
        <v>100000</v>
      </c>
      <c r="H12" s="29" t="s">
        <v>19</v>
      </c>
      <c r="I12" s="39">
        <v>45767</v>
      </c>
      <c r="J12" s="39">
        <v>46022</v>
      </c>
      <c r="K12" s="41">
        <v>0.1</v>
      </c>
      <c r="L12" s="51">
        <v>20000</v>
      </c>
      <c r="M12" s="51">
        <v>20000</v>
      </c>
      <c r="N12" s="29"/>
      <c r="O12" s="29"/>
      <c r="P12" s="44"/>
      <c r="Q12" s="44"/>
      <c r="S12" s="44"/>
      <c r="T12" s="53">
        <v>60123</v>
      </c>
      <c r="U12" s="53">
        <v>55890</v>
      </c>
      <c r="V12" s="29" t="s">
        <v>208</v>
      </c>
      <c r="W12" s="29">
        <v>10.5</v>
      </c>
      <c r="X12" s="29" t="s">
        <v>447</v>
      </c>
      <c r="Y12" s="29">
        <v>32.5</v>
      </c>
      <c r="Z12" s="29" t="s">
        <v>448</v>
      </c>
      <c r="AA12" s="29"/>
      <c r="AB12" s="29">
        <v>15000</v>
      </c>
      <c r="AC12">
        <v>45000</v>
      </c>
    </row>
    <row r="13" spans="1:29">
      <c r="A13" s="29">
        <v>177</v>
      </c>
      <c r="B13" s="29">
        <v>177</v>
      </c>
      <c r="C13" s="29" t="s">
        <v>363</v>
      </c>
      <c r="D13" s="29" t="s">
        <v>363</v>
      </c>
      <c r="E13" s="52"/>
      <c r="F13" s="29" t="s">
        <v>440</v>
      </c>
      <c r="G13" s="42">
        <v>100000</v>
      </c>
      <c r="H13" s="29" t="s">
        <v>19</v>
      </c>
      <c r="I13" s="39">
        <v>45767</v>
      </c>
      <c r="J13" s="39">
        <v>46022</v>
      </c>
      <c r="K13" s="41">
        <v>0.1</v>
      </c>
      <c r="L13" s="51">
        <v>20000</v>
      </c>
      <c r="M13" s="51">
        <v>20000</v>
      </c>
      <c r="N13" s="29"/>
      <c r="O13" s="29"/>
      <c r="P13" s="44"/>
      <c r="Q13" s="44"/>
      <c r="S13" s="44">
        <v>20000</v>
      </c>
      <c r="T13" s="53">
        <v>60123</v>
      </c>
      <c r="U13" s="53">
        <v>55890</v>
      </c>
      <c r="V13" s="29" t="s">
        <v>208</v>
      </c>
      <c r="W13" s="29">
        <v>10.5</v>
      </c>
      <c r="X13" s="29" t="s">
        <v>447</v>
      </c>
      <c r="Y13" s="29">
        <v>10.5</v>
      </c>
      <c r="Z13" s="29" t="s">
        <v>448</v>
      </c>
      <c r="AA13" s="29"/>
      <c r="AB13" s="29">
        <v>15000</v>
      </c>
      <c r="AC13">
        <v>45000</v>
      </c>
    </row>
    <row r="14" spans="1:29">
      <c r="A14" s="29">
        <v>1115</v>
      </c>
      <c r="B14" s="29">
        <v>1115</v>
      </c>
      <c r="C14" s="29" t="s">
        <v>331</v>
      </c>
      <c r="D14" s="29" t="s">
        <v>331</v>
      </c>
      <c r="E14" s="52"/>
      <c r="F14" s="29" t="s">
        <v>440</v>
      </c>
      <c r="G14" s="42">
        <v>100000</v>
      </c>
      <c r="H14" s="29" t="s">
        <v>6</v>
      </c>
      <c r="I14" s="39">
        <v>45767</v>
      </c>
      <c r="J14" s="39">
        <v>46022</v>
      </c>
      <c r="K14" s="41">
        <v>0.1</v>
      </c>
      <c r="L14" s="51">
        <v>20000</v>
      </c>
      <c r="M14" s="51">
        <v>20000</v>
      </c>
      <c r="N14" s="29"/>
      <c r="O14" s="29"/>
      <c r="P14" s="44"/>
      <c r="Q14" s="44"/>
      <c r="S14" s="44">
        <v>70000</v>
      </c>
      <c r="T14" s="44">
        <v>60</v>
      </c>
      <c r="U14" s="53">
        <v>55890</v>
      </c>
      <c r="V14" s="29" t="s">
        <v>208</v>
      </c>
      <c r="W14" s="29">
        <v>15.11</v>
      </c>
      <c r="X14" s="29">
        <v>1</v>
      </c>
      <c r="Y14" s="29">
        <v>13.5</v>
      </c>
      <c r="Z14" s="29" t="s">
        <v>449</v>
      </c>
      <c r="AA14" s="29"/>
      <c r="AB14" s="29">
        <v>15000</v>
      </c>
      <c r="AC14">
        <v>45000</v>
      </c>
    </row>
    <row r="15" spans="1:29">
      <c r="A15" s="29">
        <v>1114</v>
      </c>
      <c r="B15" s="29">
        <v>1114</v>
      </c>
      <c r="C15" s="29" t="s">
        <v>374</v>
      </c>
      <c r="D15" s="29" t="s">
        <v>374</v>
      </c>
      <c r="E15" s="52"/>
      <c r="F15" s="29" t="s">
        <v>440</v>
      </c>
      <c r="G15" s="42">
        <v>100000</v>
      </c>
      <c r="H15" s="29" t="s">
        <v>19</v>
      </c>
      <c r="I15" s="39">
        <v>45767</v>
      </c>
      <c r="J15" s="39">
        <v>46022</v>
      </c>
      <c r="K15" s="41">
        <v>0.1</v>
      </c>
      <c r="L15" s="51">
        <v>20000</v>
      </c>
      <c r="M15" s="51">
        <v>20000</v>
      </c>
      <c r="N15" s="29"/>
      <c r="O15" s="29"/>
      <c r="P15" s="44"/>
      <c r="Q15" s="44"/>
      <c r="S15" s="44"/>
      <c r="T15" s="44">
        <v>60</v>
      </c>
      <c r="U15" s="53">
        <v>55890</v>
      </c>
      <c r="V15" s="29" t="s">
        <v>208</v>
      </c>
      <c r="W15" s="29">
        <v>15.11</v>
      </c>
      <c r="X15" s="29">
        <v>2</v>
      </c>
      <c r="Y15" s="29">
        <v>14.5</v>
      </c>
      <c r="Z15" s="29" t="s">
        <v>449</v>
      </c>
      <c r="AA15" s="29"/>
      <c r="AB15" s="29">
        <v>15000</v>
      </c>
      <c r="AC15">
        <v>45000</v>
      </c>
    </row>
    <row r="16" spans="1:29">
      <c r="A16" s="29">
        <v>1012</v>
      </c>
      <c r="B16" s="29">
        <v>1012</v>
      </c>
      <c r="C16" s="29" t="s">
        <v>369</v>
      </c>
      <c r="D16" s="29" t="s">
        <v>369</v>
      </c>
      <c r="E16" s="52"/>
      <c r="F16" s="29" t="s">
        <v>440</v>
      </c>
      <c r="G16" s="42">
        <v>100000</v>
      </c>
      <c r="H16" s="29" t="s">
        <v>19</v>
      </c>
      <c r="I16" s="39">
        <v>45767</v>
      </c>
      <c r="J16" s="39">
        <v>46022</v>
      </c>
      <c r="K16" s="41">
        <v>0.1</v>
      </c>
      <c r="L16" s="51">
        <v>20000</v>
      </c>
      <c r="M16" s="51">
        <v>20000</v>
      </c>
      <c r="N16" s="29"/>
      <c r="O16" s="29"/>
      <c r="P16" s="44"/>
      <c r="Q16" s="44"/>
      <c r="S16" s="44">
        <v>45000</v>
      </c>
      <c r="T16" s="44">
        <v>1</v>
      </c>
      <c r="U16" s="53">
        <v>55890</v>
      </c>
      <c r="V16" s="29" t="s">
        <v>208</v>
      </c>
      <c r="W16" s="29">
        <v>15.11</v>
      </c>
      <c r="X16" s="29">
        <v>3</v>
      </c>
      <c r="Y16" s="29">
        <v>15.5</v>
      </c>
      <c r="Z16" s="29" t="s">
        <v>449</v>
      </c>
      <c r="AA16" s="29"/>
      <c r="AB16" s="29">
        <v>15000</v>
      </c>
      <c r="AC16">
        <v>45000</v>
      </c>
    </row>
    <row r="17" spans="1:29">
      <c r="A17" s="29">
        <v>168</v>
      </c>
      <c r="B17" s="29">
        <v>168</v>
      </c>
      <c r="C17" s="29" t="s">
        <v>348</v>
      </c>
      <c r="D17" s="29" t="s">
        <v>348</v>
      </c>
      <c r="E17" s="52"/>
      <c r="F17" s="29" t="s">
        <v>440</v>
      </c>
      <c r="G17" s="42">
        <v>100000</v>
      </c>
      <c r="H17" s="29" t="s">
        <v>19</v>
      </c>
      <c r="I17" s="39">
        <v>45767</v>
      </c>
      <c r="J17" s="39">
        <v>46022</v>
      </c>
      <c r="K17" s="41">
        <v>0.1</v>
      </c>
      <c r="L17" s="51">
        <v>20000</v>
      </c>
      <c r="M17" s="51">
        <v>20000</v>
      </c>
      <c r="N17" s="29"/>
      <c r="O17" s="29"/>
      <c r="P17" s="44"/>
      <c r="Q17" s="44"/>
      <c r="S17" s="44"/>
      <c r="T17" s="44">
        <v>1</v>
      </c>
      <c r="U17" s="53">
        <v>55890</v>
      </c>
      <c r="V17" s="29" t="s">
        <v>208</v>
      </c>
      <c r="W17" s="29">
        <v>15.11</v>
      </c>
      <c r="X17" s="29">
        <v>4</v>
      </c>
      <c r="Y17" s="29">
        <v>16.5</v>
      </c>
      <c r="Z17" s="29" t="s">
        <v>449</v>
      </c>
      <c r="AA17" s="29"/>
      <c r="AB17" s="29">
        <v>15000</v>
      </c>
      <c r="AC17">
        <v>45000</v>
      </c>
    </row>
    <row r="18" spans="1:29">
      <c r="A18" s="29">
        <v>2166</v>
      </c>
      <c r="B18" s="29">
        <v>2166</v>
      </c>
      <c r="C18" s="29" t="s">
        <v>382</v>
      </c>
      <c r="D18" s="29" t="s">
        <v>382</v>
      </c>
      <c r="E18" s="52">
        <v>1</v>
      </c>
      <c r="F18" s="29" t="s">
        <v>440</v>
      </c>
      <c r="G18" s="42">
        <v>100000</v>
      </c>
      <c r="H18" s="29" t="s">
        <v>6</v>
      </c>
      <c r="I18" s="39">
        <v>45767</v>
      </c>
      <c r="J18" s="39">
        <v>46022</v>
      </c>
      <c r="K18" s="41">
        <v>0.1</v>
      </c>
      <c r="L18" s="51">
        <v>20000</v>
      </c>
      <c r="M18" s="51">
        <v>20000</v>
      </c>
      <c r="N18" s="29"/>
      <c r="O18" s="29"/>
      <c r="P18" s="44"/>
      <c r="Q18" s="44"/>
      <c r="S18" s="44"/>
      <c r="T18" s="44">
        <v>10</v>
      </c>
      <c r="U18" s="53">
        <v>55890</v>
      </c>
      <c r="V18" s="29" t="s">
        <v>208</v>
      </c>
      <c r="W18" s="29">
        <v>15.11</v>
      </c>
      <c r="X18" s="29" t="s">
        <v>450</v>
      </c>
      <c r="Y18" s="29">
        <v>17.5</v>
      </c>
      <c r="Z18" s="29" t="s">
        <v>449</v>
      </c>
      <c r="AA18" s="29"/>
      <c r="AB18" s="29">
        <v>15000</v>
      </c>
      <c r="AC18">
        <v>45000</v>
      </c>
    </row>
    <row r="19" spans="1:29">
      <c r="A19" s="29">
        <v>1010</v>
      </c>
      <c r="B19" s="29">
        <v>1010</v>
      </c>
      <c r="C19" s="29" t="s">
        <v>354</v>
      </c>
      <c r="D19" s="29" t="s">
        <v>354</v>
      </c>
      <c r="E19" s="52">
        <v>1</v>
      </c>
      <c r="F19" s="29" t="s">
        <v>440</v>
      </c>
      <c r="G19" s="42">
        <v>100000</v>
      </c>
      <c r="H19" s="29" t="s">
        <v>6</v>
      </c>
      <c r="I19" s="39">
        <v>45767</v>
      </c>
      <c r="J19" s="39">
        <v>46022</v>
      </c>
      <c r="K19" s="41">
        <v>0.1</v>
      </c>
      <c r="L19" s="51">
        <v>20000</v>
      </c>
      <c r="M19" s="51">
        <v>20000</v>
      </c>
      <c r="N19" s="29"/>
      <c r="O19" s="29"/>
      <c r="P19" s="44"/>
      <c r="Q19" s="44"/>
      <c r="S19" s="44">
        <v>12000</v>
      </c>
      <c r="T19" s="44">
        <v>81</v>
      </c>
      <c r="U19" s="53">
        <v>55890</v>
      </c>
      <c r="V19" s="29" t="s">
        <v>208</v>
      </c>
      <c r="W19" s="29" t="s">
        <v>451</v>
      </c>
      <c r="X19" s="29" t="s">
        <v>450</v>
      </c>
      <c r="Y19" s="29">
        <v>19.5</v>
      </c>
      <c r="Z19" s="29" t="s">
        <v>449</v>
      </c>
      <c r="AA19" s="29"/>
      <c r="AB19" s="29">
        <v>15000</v>
      </c>
      <c r="AC19">
        <v>45000</v>
      </c>
    </row>
    <row r="20" spans="1:29">
      <c r="A20" s="29">
        <v>2001</v>
      </c>
      <c r="B20" s="29">
        <v>2001</v>
      </c>
      <c r="C20" s="29" t="s">
        <v>381</v>
      </c>
      <c r="D20" s="29" t="s">
        <v>381</v>
      </c>
      <c r="E20" s="52">
        <v>1</v>
      </c>
      <c r="F20" s="29" t="s">
        <v>440</v>
      </c>
      <c r="G20" s="42">
        <v>100000</v>
      </c>
      <c r="H20" s="29" t="s">
        <v>6</v>
      </c>
      <c r="I20" s="39">
        <v>45767</v>
      </c>
      <c r="J20" s="39">
        <v>46022</v>
      </c>
      <c r="K20" s="41">
        <v>0.1</v>
      </c>
      <c r="L20" s="51">
        <v>20000</v>
      </c>
      <c r="M20" s="51">
        <v>20000</v>
      </c>
      <c r="N20" s="29"/>
      <c r="O20" s="29"/>
      <c r="P20" s="44"/>
      <c r="Q20" s="44"/>
      <c r="S20" s="44"/>
      <c r="T20" s="44">
        <v>81</v>
      </c>
      <c r="U20" s="53">
        <v>55890</v>
      </c>
      <c r="V20" s="29" t="s">
        <v>208</v>
      </c>
      <c r="W20" s="29" t="s">
        <v>413</v>
      </c>
      <c r="X20" s="29" t="s">
        <v>450</v>
      </c>
      <c r="Y20" s="29">
        <v>20.5</v>
      </c>
      <c r="Z20" s="29" t="s">
        <v>449</v>
      </c>
      <c r="AA20" s="29"/>
      <c r="AB20" s="29">
        <v>15000</v>
      </c>
      <c r="AC20">
        <v>45000</v>
      </c>
    </row>
  </sheetData>
  <sortState xmlns:xlrd2="http://schemas.microsoft.com/office/spreadsheetml/2017/richdata2" ref="B8:C20">
    <sortCondition ref="C8:C20"/>
  </sortState>
  <phoneticPr fontId="4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3724-477B-472C-8825-51C3FE9C4EE1}">
  <dimension ref="A1:I15"/>
  <sheetViews>
    <sheetView workbookViewId="0">
      <selection activeCell="E21" sqref="E21"/>
    </sheetView>
  </sheetViews>
  <sheetFormatPr defaultRowHeight="15"/>
  <cols>
    <col min="2" max="2" width="14.85546875" bestFit="1" customWidth="1"/>
    <col min="3" max="3" width="14.5703125" bestFit="1" customWidth="1"/>
    <col min="4" max="4" width="9.5703125" bestFit="1" customWidth="1"/>
    <col min="5" max="5" width="23.140625" bestFit="1" customWidth="1"/>
    <col min="6" max="6" width="9.7109375" bestFit="1" customWidth="1"/>
    <col min="7" max="7" width="23.140625" bestFit="1" customWidth="1"/>
    <col min="8" max="8" width="13.7109375" bestFit="1" customWidth="1"/>
    <col min="9" max="9" width="14.42578125" bestFit="1" customWidth="1"/>
  </cols>
  <sheetData>
    <row r="1" spans="1:9">
      <c r="A1" s="36" t="s">
        <v>129</v>
      </c>
      <c r="B1" s="36" t="s">
        <v>452</v>
      </c>
      <c r="C1" s="36" t="s">
        <v>453</v>
      </c>
      <c r="D1" s="36" t="s">
        <v>454</v>
      </c>
      <c r="E1" s="36" t="s">
        <v>455</v>
      </c>
      <c r="F1" s="36" t="s">
        <v>456</v>
      </c>
      <c r="G1" s="36" t="s">
        <v>457</v>
      </c>
      <c r="H1" s="36" t="s">
        <v>458</v>
      </c>
      <c r="I1" s="36" t="s">
        <v>459</v>
      </c>
    </row>
    <row r="2" spans="1:9">
      <c r="A2" s="36">
        <v>72</v>
      </c>
      <c r="B2" s="36" t="s">
        <v>460</v>
      </c>
      <c r="C2" s="36" t="s">
        <v>461</v>
      </c>
      <c r="D2" s="36" t="s">
        <v>462</v>
      </c>
      <c r="E2" s="36" t="s">
        <v>463</v>
      </c>
      <c r="F2" s="36" t="s">
        <v>464</v>
      </c>
      <c r="G2" s="36" t="s">
        <v>463</v>
      </c>
      <c r="H2" s="36" t="s">
        <v>465</v>
      </c>
      <c r="I2" s="36"/>
    </row>
    <row r="3" spans="1:9">
      <c r="A3" s="36">
        <v>162</v>
      </c>
      <c r="B3" s="36" t="s">
        <v>466</v>
      </c>
      <c r="C3" s="36" t="s">
        <v>467</v>
      </c>
      <c r="D3" s="36" t="s">
        <v>462</v>
      </c>
      <c r="E3" s="36" t="s">
        <v>468</v>
      </c>
      <c r="F3" s="36" t="s">
        <v>469</v>
      </c>
      <c r="G3" s="36" t="s">
        <v>468</v>
      </c>
      <c r="H3" s="36" t="s">
        <v>465</v>
      </c>
      <c r="I3" s="36"/>
    </row>
    <row r="4" spans="1:9">
      <c r="A4" s="36">
        <v>166</v>
      </c>
      <c r="B4" s="36" t="s">
        <v>470</v>
      </c>
      <c r="C4" s="36" t="s">
        <v>471</v>
      </c>
      <c r="D4" s="36"/>
      <c r="E4" s="36"/>
      <c r="F4" s="36" t="s">
        <v>472</v>
      </c>
      <c r="G4" s="36" t="s">
        <v>473</v>
      </c>
      <c r="H4" s="36" t="s">
        <v>465</v>
      </c>
      <c r="I4" s="36"/>
    </row>
    <row r="5" spans="1:9">
      <c r="A5" s="36">
        <v>168</v>
      </c>
      <c r="B5" s="36" t="s">
        <v>474</v>
      </c>
      <c r="C5" s="36" t="s">
        <v>475</v>
      </c>
      <c r="D5" s="36"/>
      <c r="E5" s="36"/>
      <c r="F5" s="36" t="s">
        <v>476</v>
      </c>
      <c r="G5" s="36" t="s">
        <v>477</v>
      </c>
      <c r="H5" s="36" t="s">
        <v>465</v>
      </c>
      <c r="I5" s="36"/>
    </row>
    <row r="6" spans="1:9">
      <c r="A6" s="36">
        <v>1012</v>
      </c>
      <c r="B6" s="36" t="s">
        <v>478</v>
      </c>
      <c r="C6" s="36" t="s">
        <v>479</v>
      </c>
      <c r="D6" s="36" t="s">
        <v>462</v>
      </c>
      <c r="E6" s="36" t="s">
        <v>480</v>
      </c>
      <c r="F6" s="36" t="s">
        <v>481</v>
      </c>
      <c r="G6" s="36" t="s">
        <v>480</v>
      </c>
      <c r="H6" s="36" t="s">
        <v>465</v>
      </c>
      <c r="I6" s="36"/>
    </row>
    <row r="7" spans="1:9">
      <c r="A7" s="36">
        <v>1113</v>
      </c>
      <c r="B7" s="36" t="s">
        <v>482</v>
      </c>
      <c r="C7" s="36" t="s">
        <v>483</v>
      </c>
      <c r="D7" s="36" t="s">
        <v>462</v>
      </c>
      <c r="E7" s="36" t="s">
        <v>484</v>
      </c>
      <c r="F7" s="36" t="s">
        <v>485</v>
      </c>
      <c r="G7" s="36" t="s">
        <v>484</v>
      </c>
      <c r="H7" s="36" t="s">
        <v>465</v>
      </c>
      <c r="I7" s="36"/>
    </row>
    <row r="8" spans="1:9">
      <c r="A8" s="36">
        <v>80</v>
      </c>
      <c r="B8" s="36" t="s">
        <v>486</v>
      </c>
      <c r="C8" s="36" t="s">
        <v>487</v>
      </c>
      <c r="D8" s="36" t="s">
        <v>462</v>
      </c>
      <c r="E8" s="36" t="s">
        <v>488</v>
      </c>
      <c r="F8" s="36" t="s">
        <v>489</v>
      </c>
      <c r="G8" s="36" t="s">
        <v>488</v>
      </c>
      <c r="H8" s="36" t="s">
        <v>465</v>
      </c>
      <c r="I8" s="36"/>
    </row>
    <row r="9" spans="1:9">
      <c r="A9" s="36">
        <v>2166</v>
      </c>
      <c r="B9" s="36" t="s">
        <v>490</v>
      </c>
      <c r="C9" s="36" t="s">
        <v>491</v>
      </c>
      <c r="D9" s="36" t="s">
        <v>462</v>
      </c>
      <c r="E9" s="36" t="s">
        <v>492</v>
      </c>
      <c r="F9" s="36" t="s">
        <v>493</v>
      </c>
      <c r="G9" s="36" t="s">
        <v>492</v>
      </c>
      <c r="H9" s="36" t="s">
        <v>465</v>
      </c>
      <c r="I9" s="36"/>
    </row>
    <row r="10" spans="1:9">
      <c r="A10" s="36">
        <v>1117</v>
      </c>
      <c r="B10" s="36" t="s">
        <v>494</v>
      </c>
      <c r="C10" s="36" t="s">
        <v>495</v>
      </c>
      <c r="D10" s="36" t="s">
        <v>462</v>
      </c>
      <c r="E10" s="36" t="s">
        <v>496</v>
      </c>
      <c r="F10" s="36" t="s">
        <v>497</v>
      </c>
      <c r="G10" s="36" t="s">
        <v>496</v>
      </c>
      <c r="H10" s="36" t="s">
        <v>465</v>
      </c>
      <c r="I10" s="36"/>
    </row>
    <row r="11" spans="1:9">
      <c r="A11" s="36">
        <v>1114</v>
      </c>
      <c r="B11" s="36" t="s">
        <v>498</v>
      </c>
      <c r="C11" s="36" t="s">
        <v>499</v>
      </c>
      <c r="D11" s="36" t="s">
        <v>462</v>
      </c>
      <c r="E11" s="36" t="s">
        <v>500</v>
      </c>
      <c r="F11" s="36" t="s">
        <v>501</v>
      </c>
      <c r="G11" s="36" t="s">
        <v>500</v>
      </c>
      <c r="H11" s="36" t="s">
        <v>465</v>
      </c>
      <c r="I11" s="36"/>
    </row>
    <row r="12" spans="1:9">
      <c r="A12" s="36">
        <v>2013</v>
      </c>
      <c r="B12" s="36" t="s">
        <v>502</v>
      </c>
      <c r="C12" s="36" t="s">
        <v>503</v>
      </c>
      <c r="D12" s="36" t="s">
        <v>462</v>
      </c>
      <c r="E12" s="36" t="s">
        <v>504</v>
      </c>
      <c r="F12" s="36" t="s">
        <v>505</v>
      </c>
      <c r="G12" s="36" t="s">
        <v>504</v>
      </c>
      <c r="H12" s="36" t="s">
        <v>465</v>
      </c>
      <c r="I12" s="36"/>
    </row>
    <row r="13" spans="1:9">
      <c r="A13" s="36">
        <v>1121</v>
      </c>
      <c r="B13" s="36" t="s">
        <v>506</v>
      </c>
      <c r="C13" s="36" t="s">
        <v>507</v>
      </c>
      <c r="D13" s="36" t="s">
        <v>462</v>
      </c>
      <c r="E13" s="37" t="s">
        <v>508</v>
      </c>
      <c r="F13" s="36" t="s">
        <v>509</v>
      </c>
      <c r="G13" s="37" t="s">
        <v>508</v>
      </c>
      <c r="H13" s="36" t="s">
        <v>465</v>
      </c>
      <c r="I13" s="36"/>
    </row>
    <row r="14" spans="1:9">
      <c r="A14" s="36">
        <v>1010</v>
      </c>
      <c r="B14" s="36" t="s">
        <v>510</v>
      </c>
      <c r="C14" s="36" t="s">
        <v>511</v>
      </c>
      <c r="D14" s="36" t="s">
        <v>462</v>
      </c>
      <c r="E14" s="37" t="s">
        <v>512</v>
      </c>
      <c r="F14" s="36" t="s">
        <v>513</v>
      </c>
      <c r="G14" s="37" t="s">
        <v>512</v>
      </c>
      <c r="H14" s="36" t="s">
        <v>465</v>
      </c>
      <c r="I14" s="36"/>
    </row>
    <row r="15" spans="1:9">
      <c r="A15" s="36">
        <v>2001</v>
      </c>
      <c r="B15" s="36" t="s">
        <v>514</v>
      </c>
      <c r="C15" s="36" t="s">
        <v>515</v>
      </c>
      <c r="D15" s="36" t="s">
        <v>462</v>
      </c>
      <c r="E15" s="37" t="s">
        <v>516</v>
      </c>
      <c r="F15" s="36" t="s">
        <v>517</v>
      </c>
      <c r="G15" s="37" t="s">
        <v>516</v>
      </c>
      <c r="H15" s="36" t="s">
        <v>465</v>
      </c>
      <c r="I15" s="36"/>
    </row>
  </sheetData>
  <hyperlinks>
    <hyperlink ref="E13" r:id="rId1" xr:uid="{6825B9F0-7AC5-461C-865F-30543E308230}"/>
    <hyperlink ref="G13" r:id="rId2" xr:uid="{33AEA753-36F6-4FDE-A3B1-21BB693E9746}"/>
    <hyperlink ref="E14" r:id="rId3" xr:uid="{B5ADC0FB-ECCB-427C-B65D-2C44F910B4C2}"/>
    <hyperlink ref="G14" r:id="rId4" xr:uid="{861043BC-01F7-4021-AFCB-48CB3AE2176F}"/>
    <hyperlink ref="E15" r:id="rId5" xr:uid="{4B7E72FC-A080-4695-9FD0-24B17CBFE16B}"/>
    <hyperlink ref="G15" r:id="rId6" xr:uid="{1F213733-0440-4FCB-8D87-C887085F4D9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E767-ECEC-499C-A26D-1238DFFCF8C4}">
  <dimension ref="A1:N39"/>
  <sheetViews>
    <sheetView workbookViewId="0">
      <selection sqref="A1:XFD30"/>
    </sheetView>
  </sheetViews>
  <sheetFormatPr defaultRowHeight="15" customHeight="1"/>
  <cols>
    <col min="1" max="1" width="8.7109375" bestFit="1" customWidth="1"/>
    <col min="2" max="3" width="33.85546875" customWidth="1"/>
    <col min="4" max="4" width="16.140625" bestFit="1" customWidth="1"/>
    <col min="5" max="5" width="17.42578125" bestFit="1" customWidth="1"/>
    <col min="6" max="6" width="18.28515625" bestFit="1" customWidth="1"/>
    <col min="7" max="7" width="12" customWidth="1"/>
    <col min="8" max="8" width="11.140625" bestFit="1" customWidth="1"/>
    <col min="9" max="9" width="12.85546875" bestFit="1" customWidth="1"/>
    <col min="10" max="10" width="12.85546875" customWidth="1"/>
    <col min="11" max="11" width="15.42578125" bestFit="1" customWidth="1"/>
    <col min="12" max="12" width="24.85546875" customWidth="1"/>
    <col min="13" max="13" width="23.140625" customWidth="1"/>
    <col min="14" max="14" width="21.85546875" customWidth="1"/>
    <col min="16" max="16" width="34" bestFit="1" customWidth="1"/>
    <col min="17" max="17" width="12.85546875" bestFit="1" customWidth="1"/>
  </cols>
  <sheetData>
    <row r="1" spans="1:14">
      <c r="A1" s="29" t="s">
        <v>150</v>
      </c>
      <c r="B1" s="29" t="s">
        <v>132</v>
      </c>
      <c r="C1" s="29" t="s">
        <v>518</v>
      </c>
      <c r="D1" s="29" t="s">
        <v>519</v>
      </c>
      <c r="E1" s="29" t="s">
        <v>133</v>
      </c>
      <c r="F1" s="29" t="s">
        <v>520</v>
      </c>
      <c r="G1" s="29" t="s">
        <v>521</v>
      </c>
      <c r="H1" s="38" t="s">
        <v>522</v>
      </c>
      <c r="I1" s="29" t="s">
        <v>523</v>
      </c>
      <c r="J1" s="29" t="s">
        <v>89</v>
      </c>
      <c r="K1" s="29" t="s">
        <v>88</v>
      </c>
      <c r="L1" s="29" t="s">
        <v>91</v>
      </c>
      <c r="M1" s="29" t="s">
        <v>524</v>
      </c>
      <c r="N1" s="29" t="s">
        <v>87</v>
      </c>
    </row>
    <row r="2" spans="1:14">
      <c r="A2" s="29" t="s">
        <v>175</v>
      </c>
      <c r="B2" s="29" t="s">
        <v>525</v>
      </c>
      <c r="C2" s="29" t="s">
        <v>525</v>
      </c>
      <c r="D2" s="29" t="s">
        <v>526</v>
      </c>
      <c r="E2" s="29" t="s">
        <v>527</v>
      </c>
      <c r="F2" s="29" t="s">
        <v>528</v>
      </c>
      <c r="G2" s="29" t="s">
        <v>529</v>
      </c>
      <c r="H2" s="29" t="s">
        <v>530</v>
      </c>
      <c r="I2" s="29" t="s">
        <v>531</v>
      </c>
      <c r="J2" s="29" t="s">
        <v>97</v>
      </c>
      <c r="K2" s="29"/>
      <c r="L2" s="29" t="s">
        <v>97</v>
      </c>
      <c r="M2" s="29">
        <v>1</v>
      </c>
      <c r="N2" s="29" t="s">
        <v>96</v>
      </c>
    </row>
    <row r="3" spans="1:14">
      <c r="A3" s="29" t="s">
        <v>184</v>
      </c>
      <c r="B3" s="29" t="s">
        <v>180</v>
      </c>
      <c r="C3" s="29" t="s">
        <v>180</v>
      </c>
      <c r="D3" s="29" t="s">
        <v>532</v>
      </c>
      <c r="E3" s="29" t="s">
        <v>533</v>
      </c>
      <c r="F3" s="29" t="s">
        <v>534</v>
      </c>
      <c r="G3" s="29" t="s">
        <v>529</v>
      </c>
      <c r="H3" s="29" t="s">
        <v>530</v>
      </c>
      <c r="I3" s="29" t="s">
        <v>531</v>
      </c>
      <c r="J3" s="29" t="s">
        <v>97</v>
      </c>
      <c r="K3" s="29"/>
      <c r="L3" s="29" t="s">
        <v>97</v>
      </c>
      <c r="M3" s="29">
        <v>2</v>
      </c>
      <c r="N3" s="29" t="s">
        <v>96</v>
      </c>
    </row>
    <row r="4" spans="1:14">
      <c r="A4" s="29" t="s">
        <v>190</v>
      </c>
      <c r="B4" s="29" t="s">
        <v>186</v>
      </c>
      <c r="C4" s="29" t="s">
        <v>186</v>
      </c>
      <c r="D4" s="29" t="s">
        <v>532</v>
      </c>
      <c r="E4" s="29" t="s">
        <v>533</v>
      </c>
      <c r="F4" s="29" t="s">
        <v>534</v>
      </c>
      <c r="G4" s="29" t="s">
        <v>529</v>
      </c>
      <c r="H4" s="29" t="s">
        <v>535</v>
      </c>
      <c r="I4" s="29" t="s">
        <v>531</v>
      </c>
      <c r="J4" s="29" t="s">
        <v>99</v>
      </c>
      <c r="K4" s="29"/>
      <c r="L4" s="29" t="s">
        <v>99</v>
      </c>
      <c r="M4" s="29">
        <v>3</v>
      </c>
      <c r="N4" s="29" t="s">
        <v>96</v>
      </c>
    </row>
    <row r="5" spans="1:14">
      <c r="A5" s="29" t="s">
        <v>196</v>
      </c>
      <c r="B5" s="29" t="s">
        <v>192</v>
      </c>
      <c r="C5" s="29" t="s">
        <v>192</v>
      </c>
      <c r="D5" s="29" t="s">
        <v>532</v>
      </c>
      <c r="E5" s="29" t="s">
        <v>533</v>
      </c>
      <c r="F5" s="29" t="s">
        <v>534</v>
      </c>
      <c r="G5" s="29" t="s">
        <v>529</v>
      </c>
      <c r="H5" s="29" t="s">
        <v>536</v>
      </c>
      <c r="I5" s="29" t="s">
        <v>531</v>
      </c>
      <c r="J5" s="29" t="s">
        <v>100</v>
      </c>
      <c r="K5" s="29"/>
      <c r="L5" s="29" t="s">
        <v>100</v>
      </c>
      <c r="M5" s="29">
        <v>4</v>
      </c>
      <c r="N5" s="29" t="s">
        <v>96</v>
      </c>
    </row>
    <row r="6" spans="1:14">
      <c r="A6" s="29" t="s">
        <v>201</v>
      </c>
      <c r="B6" s="29" t="s">
        <v>198</v>
      </c>
      <c r="C6" s="29" t="s">
        <v>198</v>
      </c>
      <c r="D6" s="29" t="s">
        <v>526</v>
      </c>
      <c r="E6" s="29" t="s">
        <v>527</v>
      </c>
      <c r="F6" s="29" t="s">
        <v>528</v>
      </c>
      <c r="G6" s="29" t="s">
        <v>529</v>
      </c>
      <c r="H6" s="29" t="s">
        <v>537</v>
      </c>
      <c r="I6" s="29" t="s">
        <v>531</v>
      </c>
      <c r="J6" s="29" t="s">
        <v>101</v>
      </c>
      <c r="K6" s="29"/>
      <c r="L6" s="29" t="s">
        <v>101</v>
      </c>
      <c r="M6" s="29">
        <v>5</v>
      </c>
      <c r="N6" s="29" t="s">
        <v>96</v>
      </c>
    </row>
    <row r="7" spans="1:14">
      <c r="A7" s="29" t="s">
        <v>209</v>
      </c>
      <c r="B7" s="29" t="s">
        <v>204</v>
      </c>
      <c r="C7" s="29" t="s">
        <v>204</v>
      </c>
      <c r="D7" s="29" t="s">
        <v>526</v>
      </c>
      <c r="E7" s="29" t="s">
        <v>527</v>
      </c>
      <c r="F7" s="29" t="s">
        <v>538</v>
      </c>
      <c r="G7" s="29" t="s">
        <v>529</v>
      </c>
      <c r="H7" s="29" t="s">
        <v>537</v>
      </c>
      <c r="I7" s="29" t="s">
        <v>531</v>
      </c>
      <c r="J7" s="29" t="s">
        <v>101</v>
      </c>
      <c r="K7" s="29"/>
      <c r="L7" s="29" t="s">
        <v>101</v>
      </c>
      <c r="M7" s="29">
        <v>6</v>
      </c>
      <c r="N7" s="29" t="s">
        <v>96</v>
      </c>
    </row>
    <row r="8" spans="1:14">
      <c r="A8" s="29" t="s">
        <v>215</v>
      </c>
      <c r="B8" s="29" t="s">
        <v>539</v>
      </c>
      <c r="C8" s="29" t="s">
        <v>539</v>
      </c>
      <c r="D8" s="29" t="s">
        <v>540</v>
      </c>
      <c r="E8" s="29" t="s">
        <v>541</v>
      </c>
      <c r="F8" s="29" t="s">
        <v>542</v>
      </c>
      <c r="G8" s="29" t="s">
        <v>529</v>
      </c>
      <c r="H8" s="29" t="s">
        <v>537</v>
      </c>
      <c r="I8" s="29" t="s">
        <v>531</v>
      </c>
      <c r="J8" s="29" t="s">
        <v>101</v>
      </c>
      <c r="K8" s="29"/>
      <c r="L8" s="29" t="s">
        <v>101</v>
      </c>
      <c r="M8" s="29">
        <v>7</v>
      </c>
      <c r="N8" s="29" t="s">
        <v>96</v>
      </c>
    </row>
    <row r="9" spans="1:14">
      <c r="A9" s="29" t="s">
        <v>221</v>
      </c>
      <c r="B9" s="29" t="s">
        <v>218</v>
      </c>
      <c r="C9" s="29" t="s">
        <v>218</v>
      </c>
      <c r="D9" s="29" t="s">
        <v>540</v>
      </c>
      <c r="E9" s="29" t="s">
        <v>543</v>
      </c>
      <c r="F9" s="29" t="s">
        <v>542</v>
      </c>
      <c r="G9" s="29" t="s">
        <v>529</v>
      </c>
      <c r="H9" s="29" t="s">
        <v>537</v>
      </c>
      <c r="I9" s="29" t="s">
        <v>531</v>
      </c>
      <c r="J9" s="29" t="s">
        <v>101</v>
      </c>
      <c r="K9" s="29"/>
      <c r="L9" s="29" t="s">
        <v>101</v>
      </c>
      <c r="M9" s="29">
        <v>8</v>
      </c>
      <c r="N9" s="29" t="s">
        <v>96</v>
      </c>
    </row>
    <row r="10" spans="1:14">
      <c r="A10" s="29" t="s">
        <v>227</v>
      </c>
      <c r="B10" s="29" t="s">
        <v>223</v>
      </c>
      <c r="C10" s="29" t="s">
        <v>223</v>
      </c>
      <c r="D10" s="29" t="s">
        <v>532</v>
      </c>
      <c r="E10" s="29" t="s">
        <v>533</v>
      </c>
      <c r="F10" s="29" t="s">
        <v>544</v>
      </c>
      <c r="G10" s="29" t="s">
        <v>529</v>
      </c>
      <c r="H10" s="29" t="s">
        <v>537</v>
      </c>
      <c r="I10" s="29" t="s">
        <v>531</v>
      </c>
      <c r="J10" s="29" t="s">
        <v>101</v>
      </c>
      <c r="K10" s="29"/>
      <c r="L10" s="29" t="s">
        <v>101</v>
      </c>
      <c r="M10" s="29">
        <v>9</v>
      </c>
      <c r="N10" s="29" t="s">
        <v>96</v>
      </c>
    </row>
    <row r="11" spans="1:14">
      <c r="A11" s="29" t="s">
        <v>233</v>
      </c>
      <c r="B11" s="29" t="s">
        <v>230</v>
      </c>
      <c r="C11" s="29" t="s">
        <v>230</v>
      </c>
      <c r="D11" s="29" t="s">
        <v>545</v>
      </c>
      <c r="E11" s="29" t="s">
        <v>546</v>
      </c>
      <c r="F11" s="29" t="s">
        <v>547</v>
      </c>
      <c r="G11" s="29" t="s">
        <v>529</v>
      </c>
      <c r="H11" s="29" t="s">
        <v>548</v>
      </c>
      <c r="I11" s="29" t="s">
        <v>531</v>
      </c>
      <c r="J11" s="29" t="s">
        <v>102</v>
      </c>
      <c r="K11" s="29"/>
      <c r="L11" s="29" t="s">
        <v>102</v>
      </c>
      <c r="M11" s="29">
        <v>10</v>
      </c>
      <c r="N11" s="29" t="s">
        <v>96</v>
      </c>
    </row>
    <row r="12" spans="1:14">
      <c r="A12" s="29" t="s">
        <v>239</v>
      </c>
      <c r="B12" s="29" t="s">
        <v>549</v>
      </c>
      <c r="C12" s="29" t="s">
        <v>549</v>
      </c>
      <c r="D12" s="29" t="s">
        <v>545</v>
      </c>
      <c r="E12" s="29" t="s">
        <v>546</v>
      </c>
      <c r="F12" s="29" t="s">
        <v>547</v>
      </c>
      <c r="G12" s="29" t="s">
        <v>529</v>
      </c>
      <c r="H12" s="29" t="s">
        <v>550</v>
      </c>
      <c r="I12" s="29" t="s">
        <v>531</v>
      </c>
      <c r="J12" s="29" t="s">
        <v>103</v>
      </c>
      <c r="K12" s="29"/>
      <c r="L12" s="29" t="s">
        <v>103</v>
      </c>
      <c r="M12" s="29">
        <v>11</v>
      </c>
      <c r="N12" s="29" t="s">
        <v>96</v>
      </c>
    </row>
    <row r="13" spans="1:14">
      <c r="A13" s="29" t="s">
        <v>245</v>
      </c>
      <c r="B13" s="29" t="s">
        <v>314</v>
      </c>
      <c r="C13" s="29" t="s">
        <v>314</v>
      </c>
      <c r="D13" s="29" t="s">
        <v>532</v>
      </c>
      <c r="E13" s="29" t="s">
        <v>533</v>
      </c>
      <c r="F13" s="29" t="s">
        <v>544</v>
      </c>
      <c r="G13" s="29" t="s">
        <v>529</v>
      </c>
      <c r="H13" s="29" t="s">
        <v>550</v>
      </c>
      <c r="I13" s="29" t="s">
        <v>531</v>
      </c>
      <c r="J13" s="29" t="s">
        <v>103</v>
      </c>
      <c r="K13" s="29"/>
      <c r="L13" s="29" t="s">
        <v>103</v>
      </c>
      <c r="M13" s="29">
        <v>12</v>
      </c>
      <c r="N13" s="29" t="s">
        <v>96</v>
      </c>
    </row>
    <row r="14" spans="1:14">
      <c r="A14" s="29" t="s">
        <v>250</v>
      </c>
      <c r="B14" s="29" t="s">
        <v>176</v>
      </c>
      <c r="C14" s="29" t="s">
        <v>176</v>
      </c>
      <c r="D14" s="29" t="s">
        <v>551</v>
      </c>
      <c r="E14" s="29" t="s">
        <v>552</v>
      </c>
      <c r="F14" s="29" t="s">
        <v>553</v>
      </c>
      <c r="G14" s="29" t="s">
        <v>529</v>
      </c>
      <c r="H14" s="29" t="s">
        <v>550</v>
      </c>
      <c r="I14" s="29" t="s">
        <v>531</v>
      </c>
      <c r="J14" s="29" t="s">
        <v>103</v>
      </c>
      <c r="K14" s="29"/>
      <c r="L14" s="29" t="s">
        <v>103</v>
      </c>
      <c r="M14" s="29">
        <v>13</v>
      </c>
      <c r="N14" s="29" t="s">
        <v>96</v>
      </c>
    </row>
    <row r="15" spans="1:14">
      <c r="A15" s="29" t="s">
        <v>257</v>
      </c>
      <c r="B15" s="29" t="s">
        <v>254</v>
      </c>
      <c r="C15" s="29" t="s">
        <v>254</v>
      </c>
      <c r="D15" s="29" t="s">
        <v>526</v>
      </c>
      <c r="E15" s="29" t="s">
        <v>527</v>
      </c>
      <c r="F15" s="29" t="s">
        <v>554</v>
      </c>
      <c r="G15" s="29" t="s">
        <v>529</v>
      </c>
      <c r="H15" s="29" t="s">
        <v>555</v>
      </c>
      <c r="I15" s="29" t="s">
        <v>531</v>
      </c>
      <c r="J15" s="29" t="s">
        <v>104</v>
      </c>
      <c r="K15" s="29"/>
      <c r="L15" s="29" t="s">
        <v>104</v>
      </c>
      <c r="M15" s="29">
        <v>14</v>
      </c>
      <c r="N15" s="29" t="s">
        <v>96</v>
      </c>
    </row>
    <row r="16" spans="1:14">
      <c r="A16" s="29" t="s">
        <v>264</v>
      </c>
      <c r="B16" s="29" t="s">
        <v>262</v>
      </c>
      <c r="C16" s="29" t="s">
        <v>262</v>
      </c>
      <c r="D16" s="29" t="s">
        <v>526</v>
      </c>
      <c r="E16" s="29" t="s">
        <v>527</v>
      </c>
      <c r="F16" s="29" t="s">
        <v>554</v>
      </c>
      <c r="G16" s="29" t="s">
        <v>529</v>
      </c>
      <c r="H16" s="29" t="s">
        <v>555</v>
      </c>
      <c r="I16" s="29" t="s">
        <v>531</v>
      </c>
      <c r="J16" s="29" t="s">
        <v>104</v>
      </c>
      <c r="K16" s="29"/>
      <c r="L16" s="29" t="s">
        <v>104</v>
      </c>
      <c r="M16" s="29">
        <v>15</v>
      </c>
      <c r="N16" s="29" t="s">
        <v>96</v>
      </c>
    </row>
    <row r="17" spans="1:14">
      <c r="A17" s="29" t="s">
        <v>268</v>
      </c>
      <c r="B17" s="29" t="s">
        <v>266</v>
      </c>
      <c r="C17" s="29" t="s">
        <v>266</v>
      </c>
      <c r="D17" s="29" t="s">
        <v>551</v>
      </c>
      <c r="E17" s="29" t="s">
        <v>552</v>
      </c>
      <c r="F17" s="29" t="s">
        <v>556</v>
      </c>
      <c r="G17" s="29" t="s">
        <v>529</v>
      </c>
      <c r="H17" s="29" t="s">
        <v>555</v>
      </c>
      <c r="I17" s="29" t="s">
        <v>531</v>
      </c>
      <c r="J17" s="29" t="s">
        <v>104</v>
      </c>
      <c r="K17" s="29"/>
      <c r="L17" s="29" t="s">
        <v>104</v>
      </c>
      <c r="M17" s="29">
        <v>16</v>
      </c>
      <c r="N17" s="29" t="s">
        <v>96</v>
      </c>
    </row>
    <row r="18" spans="1:14">
      <c r="A18" s="29" t="s">
        <v>272</v>
      </c>
      <c r="B18" s="29" t="s">
        <v>270</v>
      </c>
      <c r="C18" s="29" t="s">
        <v>270</v>
      </c>
      <c r="D18" s="29" t="s">
        <v>545</v>
      </c>
      <c r="E18" s="29" t="s">
        <v>546</v>
      </c>
      <c r="F18" s="29" t="s">
        <v>556</v>
      </c>
      <c r="G18" s="29" t="s">
        <v>529</v>
      </c>
      <c r="H18" s="29" t="s">
        <v>555</v>
      </c>
      <c r="I18" s="29" t="s">
        <v>531</v>
      </c>
      <c r="J18" s="29" t="s">
        <v>104</v>
      </c>
      <c r="K18" s="29"/>
      <c r="L18" s="29" t="s">
        <v>104</v>
      </c>
      <c r="M18" s="29">
        <v>17</v>
      </c>
      <c r="N18" s="29" t="s">
        <v>96</v>
      </c>
    </row>
    <row r="19" spans="1:14">
      <c r="A19" s="29" t="s">
        <v>276</v>
      </c>
      <c r="B19" s="29" t="s">
        <v>274</v>
      </c>
      <c r="C19" s="29" t="s">
        <v>274</v>
      </c>
      <c r="D19" s="29" t="s">
        <v>532</v>
      </c>
      <c r="E19" s="29" t="s">
        <v>533</v>
      </c>
      <c r="F19" s="29" t="s">
        <v>556</v>
      </c>
      <c r="G19" s="29" t="s">
        <v>529</v>
      </c>
      <c r="H19" s="29" t="s">
        <v>555</v>
      </c>
      <c r="I19" s="29" t="s">
        <v>531</v>
      </c>
      <c r="J19" s="29" t="s">
        <v>104</v>
      </c>
      <c r="K19" s="29"/>
      <c r="L19" s="29" t="s">
        <v>104</v>
      </c>
      <c r="M19" s="29">
        <v>18</v>
      </c>
      <c r="N19" s="29" t="s">
        <v>96</v>
      </c>
    </row>
    <row r="20" spans="1:14">
      <c r="A20" s="29" t="s">
        <v>280</v>
      </c>
      <c r="B20" s="29" t="s">
        <v>278</v>
      </c>
      <c r="C20" s="29" t="s">
        <v>278</v>
      </c>
      <c r="D20" s="29" t="s">
        <v>526</v>
      </c>
      <c r="E20" s="29" t="s">
        <v>527</v>
      </c>
      <c r="F20" s="29" t="s">
        <v>554</v>
      </c>
      <c r="G20" s="29" t="s">
        <v>529</v>
      </c>
      <c r="H20" s="29" t="s">
        <v>557</v>
      </c>
      <c r="I20" s="29" t="s">
        <v>531</v>
      </c>
      <c r="J20" s="29" t="s">
        <v>105</v>
      </c>
      <c r="K20" s="29"/>
      <c r="L20" s="29" t="s">
        <v>105</v>
      </c>
      <c r="M20" s="29">
        <v>19</v>
      </c>
      <c r="N20" s="29" t="s">
        <v>96</v>
      </c>
    </row>
    <row r="21" spans="1:14">
      <c r="A21" s="29" t="s">
        <v>284</v>
      </c>
      <c r="B21" s="29" t="s">
        <v>282</v>
      </c>
      <c r="C21" s="29" t="s">
        <v>282</v>
      </c>
      <c r="D21" s="29" t="s">
        <v>540</v>
      </c>
      <c r="E21" s="29" t="s">
        <v>543</v>
      </c>
      <c r="F21" s="29" t="s">
        <v>542</v>
      </c>
      <c r="G21" s="29" t="s">
        <v>529</v>
      </c>
      <c r="H21" s="29" t="s">
        <v>558</v>
      </c>
      <c r="I21" s="29" t="s">
        <v>531</v>
      </c>
      <c r="J21" s="29" t="s">
        <v>108</v>
      </c>
      <c r="K21" s="29"/>
      <c r="L21" s="29" t="s">
        <v>108</v>
      </c>
      <c r="M21" s="29">
        <v>20</v>
      </c>
      <c r="N21" s="29" t="s">
        <v>115</v>
      </c>
    </row>
    <row r="22" spans="1:14">
      <c r="A22" s="29" t="s">
        <v>287</v>
      </c>
      <c r="B22" s="29" t="s">
        <v>258</v>
      </c>
      <c r="C22" s="29" t="s">
        <v>258</v>
      </c>
      <c r="D22" s="29"/>
      <c r="E22" s="29"/>
      <c r="F22" s="29" t="s">
        <v>538</v>
      </c>
      <c r="G22" s="29" t="s">
        <v>529</v>
      </c>
      <c r="H22" s="29" t="s">
        <v>559</v>
      </c>
      <c r="I22" s="29" t="s">
        <v>531</v>
      </c>
      <c r="J22" s="29" t="s">
        <v>116</v>
      </c>
      <c r="K22" s="29"/>
      <c r="L22" s="29" t="s">
        <v>116</v>
      </c>
      <c r="M22" s="29">
        <v>21</v>
      </c>
      <c r="N22" s="29" t="s">
        <v>115</v>
      </c>
    </row>
    <row r="23" spans="1:14">
      <c r="A23" s="29" t="s">
        <v>293</v>
      </c>
      <c r="B23" s="29" t="s">
        <v>291</v>
      </c>
      <c r="C23" s="29" t="s">
        <v>291</v>
      </c>
      <c r="D23" s="29" t="s">
        <v>551</v>
      </c>
      <c r="E23" s="29" t="s">
        <v>552</v>
      </c>
      <c r="F23" s="29" t="s">
        <v>553</v>
      </c>
      <c r="G23" s="29" t="s">
        <v>529</v>
      </c>
      <c r="H23" s="29" t="s">
        <v>560</v>
      </c>
      <c r="I23" s="29" t="s">
        <v>531</v>
      </c>
      <c r="J23" s="29" t="s">
        <v>104</v>
      </c>
      <c r="K23" s="29" t="s">
        <v>119</v>
      </c>
      <c r="L23" s="29" t="s">
        <v>104</v>
      </c>
      <c r="M23" s="29">
        <v>22</v>
      </c>
    </row>
    <row r="24" spans="1:14">
      <c r="A24" s="29" t="s">
        <v>297</v>
      </c>
      <c r="B24" s="29" t="s">
        <v>349</v>
      </c>
      <c r="C24" s="29" t="s">
        <v>349</v>
      </c>
      <c r="D24" s="29" t="s">
        <v>526</v>
      </c>
      <c r="E24" s="29" t="s">
        <v>527</v>
      </c>
      <c r="F24" s="29" t="s">
        <v>554</v>
      </c>
      <c r="G24" s="29" t="s">
        <v>561</v>
      </c>
      <c r="H24" s="29" t="s">
        <v>562</v>
      </c>
      <c r="I24" s="29" t="s">
        <v>531</v>
      </c>
      <c r="J24" s="29" t="s">
        <v>104</v>
      </c>
      <c r="K24" s="29" t="s">
        <v>119</v>
      </c>
      <c r="L24" s="29" t="s">
        <v>104</v>
      </c>
      <c r="M24" s="29">
        <v>23</v>
      </c>
    </row>
    <row r="25" spans="1:14">
      <c r="A25" s="29" t="s">
        <v>301</v>
      </c>
      <c r="B25" s="29" t="s">
        <v>299</v>
      </c>
      <c r="C25" s="29" t="s">
        <v>299</v>
      </c>
      <c r="D25" s="29" t="s">
        <v>540</v>
      </c>
      <c r="E25" s="29" t="s">
        <v>543</v>
      </c>
      <c r="F25" s="29" t="s">
        <v>542</v>
      </c>
      <c r="G25" s="29" t="s">
        <v>561</v>
      </c>
      <c r="H25" s="29" t="s">
        <v>562</v>
      </c>
      <c r="I25" s="29" t="s">
        <v>531</v>
      </c>
      <c r="J25" s="29" t="s">
        <v>127</v>
      </c>
      <c r="K25" s="29" t="s">
        <v>119</v>
      </c>
      <c r="L25" s="29" t="s">
        <v>127</v>
      </c>
      <c r="M25" s="29">
        <v>24</v>
      </c>
    </row>
    <row r="26" spans="1:14">
      <c r="A26" s="29" t="s">
        <v>305</v>
      </c>
      <c r="B26" s="29" t="s">
        <v>303</v>
      </c>
      <c r="C26" s="29" t="s">
        <v>303</v>
      </c>
      <c r="D26" s="29" t="s">
        <v>532</v>
      </c>
      <c r="E26" s="29" t="s">
        <v>533</v>
      </c>
      <c r="F26" s="29" t="s">
        <v>544</v>
      </c>
      <c r="G26" s="29" t="s">
        <v>561</v>
      </c>
      <c r="H26" s="29" t="s">
        <v>562</v>
      </c>
      <c r="I26" s="29" t="s">
        <v>531</v>
      </c>
      <c r="J26" s="29" t="s">
        <v>111</v>
      </c>
      <c r="K26" s="29"/>
      <c r="L26" s="29" t="s">
        <v>111</v>
      </c>
      <c r="M26" s="29">
        <v>25</v>
      </c>
      <c r="N26" s="29" t="s">
        <v>115</v>
      </c>
    </row>
    <row r="27" spans="1:14">
      <c r="A27" s="29" t="s">
        <v>309</v>
      </c>
      <c r="B27" s="29" t="s">
        <v>303</v>
      </c>
      <c r="C27" s="29" t="s">
        <v>303</v>
      </c>
      <c r="D27" s="29" t="s">
        <v>526</v>
      </c>
      <c r="E27" s="29" t="s">
        <v>527</v>
      </c>
      <c r="F27" s="29" t="s">
        <v>554</v>
      </c>
      <c r="G27" s="29" t="s">
        <v>561</v>
      </c>
      <c r="H27" s="29" t="s">
        <v>563</v>
      </c>
      <c r="I27" s="29" t="s">
        <v>531</v>
      </c>
      <c r="J27" s="29" t="s">
        <v>113</v>
      </c>
      <c r="K27" s="29"/>
      <c r="L27" s="29" t="s">
        <v>113</v>
      </c>
      <c r="M27" s="29">
        <v>26</v>
      </c>
      <c r="N27" s="29" t="s">
        <v>115</v>
      </c>
    </row>
    <row r="28" spans="1:14">
      <c r="A28" s="29" t="s">
        <v>313</v>
      </c>
      <c r="B28" s="29" t="s">
        <v>303</v>
      </c>
      <c r="C28" s="29" t="s">
        <v>303</v>
      </c>
      <c r="D28" s="29" t="s">
        <v>551</v>
      </c>
      <c r="E28" s="29" t="s">
        <v>552</v>
      </c>
      <c r="F28" s="29" t="s">
        <v>553</v>
      </c>
      <c r="G28" s="29" t="s">
        <v>561</v>
      </c>
      <c r="H28" s="29" t="s">
        <v>563</v>
      </c>
      <c r="I28" s="29" t="s">
        <v>531</v>
      </c>
      <c r="J28" s="29" t="s">
        <v>113</v>
      </c>
      <c r="K28" s="29"/>
      <c r="L28" s="29" t="s">
        <v>113</v>
      </c>
      <c r="M28" s="29">
        <v>27</v>
      </c>
      <c r="N28" s="29" t="s">
        <v>115</v>
      </c>
    </row>
    <row r="29" spans="1:14">
      <c r="A29" s="29" t="s">
        <v>317</v>
      </c>
      <c r="B29" s="29" t="s">
        <v>303</v>
      </c>
      <c r="C29" s="29" t="s">
        <v>303</v>
      </c>
      <c r="D29" s="29" t="s">
        <v>532</v>
      </c>
      <c r="E29" s="29" t="s">
        <v>533</v>
      </c>
      <c r="F29" s="29" t="s">
        <v>544</v>
      </c>
      <c r="G29" s="29" t="s">
        <v>564</v>
      </c>
      <c r="H29" s="29" t="s">
        <v>563</v>
      </c>
      <c r="I29" s="29" t="s">
        <v>531</v>
      </c>
      <c r="J29" s="29" t="s">
        <v>113</v>
      </c>
      <c r="K29" s="29"/>
      <c r="L29" s="29" t="s">
        <v>113</v>
      </c>
      <c r="M29" s="29">
        <v>28</v>
      </c>
      <c r="N29" s="29" t="s">
        <v>115</v>
      </c>
    </row>
    <row r="30" spans="1:14">
      <c r="A30" s="29" t="s">
        <v>323</v>
      </c>
      <c r="B30" s="29" t="s">
        <v>303</v>
      </c>
      <c r="C30" s="29" t="s">
        <v>303</v>
      </c>
      <c r="D30" s="29"/>
      <c r="E30" s="29"/>
      <c r="F30" s="29" t="s">
        <v>547</v>
      </c>
      <c r="G30" s="29" t="s">
        <v>565</v>
      </c>
      <c r="H30" s="29" t="s">
        <v>566</v>
      </c>
      <c r="I30" s="29" t="s">
        <v>531</v>
      </c>
      <c r="J30" s="29" t="s">
        <v>114</v>
      </c>
      <c r="K30" s="29"/>
      <c r="L30" s="29" t="s">
        <v>114</v>
      </c>
      <c r="M30" s="29">
        <v>29</v>
      </c>
      <c r="N30" s="29" t="s">
        <v>115</v>
      </c>
    </row>
    <row r="31" spans="1:14"/>
    <row r="32" spans="1:14"/>
    <row r="33"/>
    <row r="34"/>
    <row r="35"/>
    <row r="36"/>
    <row r="37"/>
    <row r="38"/>
    <row r="39"/>
  </sheetData>
  <sortState xmlns:xlrd2="http://schemas.microsoft.com/office/spreadsheetml/2017/richdata2" ref="P1:Q67">
    <sortCondition ref="Q1:Q67"/>
  </sortState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E1A8-627E-4EDC-AB45-7A92D957D07D}">
  <dimension ref="A1:N30"/>
  <sheetViews>
    <sheetView workbookViewId="0">
      <selection activeCell="C32" sqref="C32"/>
    </sheetView>
  </sheetViews>
  <sheetFormatPr defaultRowHeight="14.45"/>
  <cols>
    <col min="1" max="1" width="22.7109375" customWidth="1"/>
    <col min="2" max="2" width="31.85546875" bestFit="1" customWidth="1"/>
    <col min="3" max="3" width="30.7109375" bestFit="1" customWidth="1"/>
    <col min="4" max="4" width="14.85546875" bestFit="1" customWidth="1"/>
    <col min="5" max="5" width="21.28515625" customWidth="1"/>
    <col min="6" max="6" width="18.28515625" bestFit="1" customWidth="1"/>
    <col min="7" max="7" width="8.85546875" bestFit="1" customWidth="1"/>
    <col min="8" max="8" width="11.140625" bestFit="1" customWidth="1"/>
    <col min="9" max="9" width="7.42578125" bestFit="1" customWidth="1"/>
    <col min="10" max="10" width="11.85546875" bestFit="1" customWidth="1"/>
    <col min="11" max="11" width="15.42578125" bestFit="1" customWidth="1"/>
    <col min="12" max="12" width="13.5703125" bestFit="1" customWidth="1"/>
    <col min="13" max="13" width="12.7109375" bestFit="1" customWidth="1"/>
    <col min="14" max="14" width="14.7109375" bestFit="1" customWidth="1"/>
  </cols>
  <sheetData>
    <row r="1" spans="1:14" ht="15">
      <c r="A1" s="29" t="s">
        <v>150</v>
      </c>
      <c r="B1" s="29" t="s">
        <v>132</v>
      </c>
      <c r="C1" s="29" t="s">
        <v>518</v>
      </c>
      <c r="D1" s="29" t="s">
        <v>519</v>
      </c>
      <c r="E1" s="29" t="s">
        <v>133</v>
      </c>
      <c r="F1" s="29" t="s">
        <v>520</v>
      </c>
      <c r="G1" s="29" t="s">
        <v>521</v>
      </c>
      <c r="H1" s="38" t="s">
        <v>522</v>
      </c>
      <c r="I1" s="29" t="s">
        <v>523</v>
      </c>
      <c r="J1" s="29" t="s">
        <v>89</v>
      </c>
      <c r="K1" s="29" t="s">
        <v>88</v>
      </c>
      <c r="L1" s="29" t="s">
        <v>91</v>
      </c>
      <c r="M1" s="29" t="s">
        <v>524</v>
      </c>
      <c r="N1" s="29" t="s">
        <v>87</v>
      </c>
    </row>
    <row r="2" spans="1:14" ht="15">
      <c r="A2" s="29" t="s">
        <v>175</v>
      </c>
      <c r="B2" s="29" t="s">
        <v>525</v>
      </c>
      <c r="C2" s="29" t="s">
        <v>567</v>
      </c>
      <c r="D2" s="29" t="s">
        <v>526</v>
      </c>
      <c r="E2" s="29" t="s">
        <v>169</v>
      </c>
      <c r="F2" s="29" t="s">
        <v>528</v>
      </c>
      <c r="G2" s="29" t="s">
        <v>529</v>
      </c>
      <c r="H2" s="29" t="s">
        <v>530</v>
      </c>
      <c r="I2" s="29" t="s">
        <v>531</v>
      </c>
      <c r="J2" s="29" t="s">
        <v>97</v>
      </c>
      <c r="K2" s="29"/>
      <c r="L2" s="29" t="s">
        <v>97</v>
      </c>
      <c r="M2" s="29">
        <v>1</v>
      </c>
      <c r="N2" s="29" t="s">
        <v>96</v>
      </c>
    </row>
    <row r="3" spans="1:14" ht="15">
      <c r="A3" s="29" t="s">
        <v>184</v>
      </c>
      <c r="B3" s="29" t="s">
        <v>180</v>
      </c>
      <c r="C3" s="29" t="s">
        <v>568</v>
      </c>
      <c r="D3" s="29" t="s">
        <v>532</v>
      </c>
      <c r="E3" s="29" t="s">
        <v>181</v>
      </c>
      <c r="F3" s="29" t="s">
        <v>534</v>
      </c>
      <c r="G3" s="29" t="s">
        <v>529</v>
      </c>
      <c r="H3" s="29" t="s">
        <v>530</v>
      </c>
      <c r="I3" s="29" t="s">
        <v>531</v>
      </c>
      <c r="J3" s="29" t="s">
        <v>97</v>
      </c>
      <c r="K3" s="29"/>
      <c r="L3" s="29" t="s">
        <v>97</v>
      </c>
      <c r="M3" s="29">
        <v>2</v>
      </c>
      <c r="N3" s="29" t="s">
        <v>96</v>
      </c>
    </row>
    <row r="4" spans="1:14" ht="15">
      <c r="A4" s="29" t="s">
        <v>190</v>
      </c>
      <c r="B4" s="29" t="s">
        <v>186</v>
      </c>
      <c r="C4" s="29" t="s">
        <v>569</v>
      </c>
      <c r="D4" s="29" t="s">
        <v>532</v>
      </c>
      <c r="E4" s="29" t="s">
        <v>187</v>
      </c>
      <c r="F4" s="29" t="s">
        <v>534</v>
      </c>
      <c r="G4" s="29" t="s">
        <v>529</v>
      </c>
      <c r="H4" s="29" t="s">
        <v>535</v>
      </c>
      <c r="I4" s="29" t="s">
        <v>531</v>
      </c>
      <c r="J4" s="29" t="s">
        <v>99</v>
      </c>
      <c r="K4" s="29"/>
      <c r="L4" s="29" t="s">
        <v>99</v>
      </c>
      <c r="M4" s="29">
        <v>3</v>
      </c>
      <c r="N4" s="29" t="s">
        <v>96</v>
      </c>
    </row>
    <row r="5" spans="1:14" ht="15">
      <c r="A5" s="29" t="s">
        <v>196</v>
      </c>
      <c r="B5" s="29" t="s">
        <v>192</v>
      </c>
      <c r="C5" s="29" t="s">
        <v>570</v>
      </c>
      <c r="D5" s="29" t="s">
        <v>532</v>
      </c>
      <c r="E5" s="29" t="s">
        <v>193</v>
      </c>
      <c r="F5" s="29" t="s">
        <v>534</v>
      </c>
      <c r="G5" s="29" t="s">
        <v>529</v>
      </c>
      <c r="H5" s="29" t="s">
        <v>536</v>
      </c>
      <c r="I5" s="29" t="s">
        <v>531</v>
      </c>
      <c r="J5" s="29" t="s">
        <v>100</v>
      </c>
      <c r="K5" s="29"/>
      <c r="L5" s="29" t="s">
        <v>100</v>
      </c>
      <c r="M5" s="29">
        <v>4</v>
      </c>
      <c r="N5" s="29" t="s">
        <v>96</v>
      </c>
    </row>
    <row r="6" spans="1:14" ht="15">
      <c r="A6" s="29" t="s">
        <v>201</v>
      </c>
      <c r="B6" s="29" t="s">
        <v>198</v>
      </c>
      <c r="C6" s="29" t="s">
        <v>571</v>
      </c>
      <c r="D6" s="29" t="s">
        <v>526</v>
      </c>
      <c r="E6" s="29" t="s">
        <v>199</v>
      </c>
      <c r="F6" s="29" t="s">
        <v>528</v>
      </c>
      <c r="G6" s="29" t="s">
        <v>529</v>
      </c>
      <c r="H6" s="29" t="s">
        <v>537</v>
      </c>
      <c r="I6" s="29" t="s">
        <v>531</v>
      </c>
      <c r="J6" s="29" t="s">
        <v>101</v>
      </c>
      <c r="K6" s="29"/>
      <c r="L6" s="29" t="s">
        <v>101</v>
      </c>
      <c r="M6" s="29">
        <v>5</v>
      </c>
      <c r="N6" s="29" t="s">
        <v>96</v>
      </c>
    </row>
    <row r="7" spans="1:14" ht="15">
      <c r="A7" s="29" t="s">
        <v>209</v>
      </c>
      <c r="B7" s="29" t="s">
        <v>204</v>
      </c>
      <c r="C7" s="29" t="s">
        <v>572</v>
      </c>
      <c r="D7" s="29" t="s">
        <v>526</v>
      </c>
      <c r="E7" s="29" t="s">
        <v>205</v>
      </c>
      <c r="F7" s="29" t="s">
        <v>538</v>
      </c>
      <c r="G7" s="29" t="s">
        <v>529</v>
      </c>
      <c r="H7" s="29" t="s">
        <v>537</v>
      </c>
      <c r="I7" s="29" t="s">
        <v>531</v>
      </c>
      <c r="J7" s="29" t="s">
        <v>101</v>
      </c>
      <c r="K7" s="29"/>
      <c r="L7" s="29" t="s">
        <v>101</v>
      </c>
      <c r="M7" s="29">
        <v>6</v>
      </c>
      <c r="N7" s="29" t="s">
        <v>96</v>
      </c>
    </row>
    <row r="8" spans="1:14" ht="15">
      <c r="A8" s="29" t="s">
        <v>215</v>
      </c>
      <c r="B8" s="29" t="s">
        <v>211</v>
      </c>
      <c r="C8" s="29" t="s">
        <v>211</v>
      </c>
      <c r="D8" s="29" t="s">
        <v>540</v>
      </c>
      <c r="E8" s="29" t="s">
        <v>212</v>
      </c>
      <c r="F8" s="29" t="s">
        <v>542</v>
      </c>
      <c r="G8" s="29" t="s">
        <v>529</v>
      </c>
      <c r="H8" s="29" t="s">
        <v>537</v>
      </c>
      <c r="I8" s="29" t="s">
        <v>531</v>
      </c>
      <c r="J8" s="29" t="s">
        <v>101</v>
      </c>
      <c r="K8" s="29"/>
      <c r="L8" s="29" t="s">
        <v>101</v>
      </c>
      <c r="M8" s="29">
        <v>7</v>
      </c>
      <c r="N8" s="29" t="s">
        <v>96</v>
      </c>
    </row>
    <row r="9" spans="1:14" ht="15">
      <c r="A9" s="29" t="s">
        <v>221</v>
      </c>
      <c r="B9" s="29" t="s">
        <v>218</v>
      </c>
      <c r="C9" s="29" t="s">
        <v>573</v>
      </c>
      <c r="D9" s="29" t="s">
        <v>540</v>
      </c>
      <c r="E9" s="29" t="s">
        <v>219</v>
      </c>
      <c r="F9" s="29" t="s">
        <v>542</v>
      </c>
      <c r="G9" s="29" t="s">
        <v>529</v>
      </c>
      <c r="H9" s="29" t="s">
        <v>537</v>
      </c>
      <c r="I9" s="29" t="s">
        <v>531</v>
      </c>
      <c r="J9" s="29" t="s">
        <v>101</v>
      </c>
      <c r="K9" s="29"/>
      <c r="L9" s="29" t="s">
        <v>101</v>
      </c>
      <c r="M9" s="29">
        <v>8</v>
      </c>
      <c r="N9" s="29" t="s">
        <v>96</v>
      </c>
    </row>
    <row r="10" spans="1:14" ht="15">
      <c r="A10" s="29" t="s">
        <v>227</v>
      </c>
      <c r="B10" s="29" t="s">
        <v>223</v>
      </c>
      <c r="C10" s="29" t="s">
        <v>574</v>
      </c>
      <c r="D10" s="29" t="s">
        <v>532</v>
      </c>
      <c r="E10" s="29" t="s">
        <v>224</v>
      </c>
      <c r="F10" s="29" t="s">
        <v>544</v>
      </c>
      <c r="G10" s="29" t="s">
        <v>529</v>
      </c>
      <c r="H10" s="29" t="s">
        <v>537</v>
      </c>
      <c r="I10" s="29" t="s">
        <v>531</v>
      </c>
      <c r="J10" s="29" t="s">
        <v>101</v>
      </c>
      <c r="K10" s="29"/>
      <c r="L10" s="29" t="s">
        <v>101</v>
      </c>
      <c r="M10" s="29">
        <v>9</v>
      </c>
      <c r="N10" s="29" t="s">
        <v>96</v>
      </c>
    </row>
    <row r="11" spans="1:14" ht="15">
      <c r="A11" s="29" t="s">
        <v>233</v>
      </c>
      <c r="B11" s="29" t="s">
        <v>575</v>
      </c>
      <c r="C11" s="29" t="s">
        <v>576</v>
      </c>
      <c r="D11" s="29" t="s">
        <v>545</v>
      </c>
      <c r="E11" s="29" t="s">
        <v>231</v>
      </c>
      <c r="F11" s="29" t="s">
        <v>547</v>
      </c>
      <c r="G11" s="29" t="s">
        <v>529</v>
      </c>
      <c r="H11" s="29" t="s">
        <v>548</v>
      </c>
      <c r="I11" s="29" t="s">
        <v>531</v>
      </c>
      <c r="J11" s="29" t="s">
        <v>102</v>
      </c>
      <c r="K11" s="29"/>
      <c r="L11" s="29" t="s">
        <v>102</v>
      </c>
      <c r="M11" s="29">
        <v>10</v>
      </c>
      <c r="N11" s="29" t="s">
        <v>96</v>
      </c>
    </row>
    <row r="12" spans="1:14" ht="15">
      <c r="A12" s="29" t="s">
        <v>239</v>
      </c>
      <c r="B12" s="29" t="s">
        <v>577</v>
      </c>
      <c r="C12" s="29" t="s">
        <v>577</v>
      </c>
      <c r="D12" s="29" t="s">
        <v>545</v>
      </c>
      <c r="E12" s="29" t="s">
        <v>237</v>
      </c>
      <c r="F12" s="29" t="s">
        <v>547</v>
      </c>
      <c r="G12" s="29" t="s">
        <v>529</v>
      </c>
      <c r="H12" s="29" t="s">
        <v>550</v>
      </c>
      <c r="I12" s="29" t="s">
        <v>531</v>
      </c>
      <c r="J12" s="29" t="s">
        <v>103</v>
      </c>
      <c r="K12" s="29"/>
      <c r="L12" s="29" t="s">
        <v>103</v>
      </c>
      <c r="M12" s="29">
        <v>11</v>
      </c>
      <c r="N12" s="29" t="s">
        <v>96</v>
      </c>
    </row>
    <row r="13" spans="1:14" ht="15">
      <c r="A13" s="29" t="s">
        <v>245</v>
      </c>
      <c r="B13" s="29" t="s">
        <v>578</v>
      </c>
      <c r="C13" s="29" t="s">
        <v>578</v>
      </c>
      <c r="D13" s="29" t="s">
        <v>532</v>
      </c>
      <c r="E13" s="29" t="s">
        <v>242</v>
      </c>
      <c r="F13" s="29" t="s">
        <v>544</v>
      </c>
      <c r="G13" s="29" t="s">
        <v>529</v>
      </c>
      <c r="H13" s="29" t="s">
        <v>550</v>
      </c>
      <c r="I13" s="29" t="s">
        <v>531</v>
      </c>
      <c r="J13" s="29" t="s">
        <v>103</v>
      </c>
      <c r="K13" s="29"/>
      <c r="L13" s="29" t="s">
        <v>103</v>
      </c>
      <c r="M13" s="29">
        <v>12</v>
      </c>
      <c r="N13" s="29" t="s">
        <v>96</v>
      </c>
    </row>
    <row r="14" spans="1:14" ht="15">
      <c r="A14" s="29" t="s">
        <v>250</v>
      </c>
      <c r="B14" s="29" t="s">
        <v>579</v>
      </c>
      <c r="C14" s="29" t="s">
        <v>580</v>
      </c>
      <c r="D14" s="29" t="s">
        <v>551</v>
      </c>
      <c r="E14" s="29" t="s">
        <v>247</v>
      </c>
      <c r="F14" s="29" t="s">
        <v>553</v>
      </c>
      <c r="G14" s="29" t="s">
        <v>529</v>
      </c>
      <c r="H14" s="29" t="s">
        <v>550</v>
      </c>
      <c r="I14" s="29" t="s">
        <v>531</v>
      </c>
      <c r="J14" s="29" t="s">
        <v>103</v>
      </c>
      <c r="K14" s="29"/>
      <c r="L14" s="29" t="s">
        <v>103</v>
      </c>
      <c r="M14" s="29">
        <v>13</v>
      </c>
      <c r="N14" s="29" t="s">
        <v>96</v>
      </c>
    </row>
    <row r="15" spans="1:14" ht="15">
      <c r="A15" s="29" t="s">
        <v>257</v>
      </c>
      <c r="B15" s="29" t="s">
        <v>581</v>
      </c>
      <c r="C15" s="29" t="s">
        <v>582</v>
      </c>
      <c r="D15" s="29" t="s">
        <v>526</v>
      </c>
      <c r="E15" s="29" t="s">
        <v>255</v>
      </c>
      <c r="F15" s="29" t="s">
        <v>554</v>
      </c>
      <c r="G15" s="29" t="s">
        <v>529</v>
      </c>
      <c r="H15" s="29" t="s">
        <v>555</v>
      </c>
      <c r="I15" s="29" t="s">
        <v>531</v>
      </c>
      <c r="J15" s="29" t="s">
        <v>104</v>
      </c>
      <c r="K15" s="29"/>
      <c r="L15" s="29" t="s">
        <v>104</v>
      </c>
      <c r="M15" s="29">
        <v>14</v>
      </c>
      <c r="N15" s="29" t="s">
        <v>96</v>
      </c>
    </row>
    <row r="16" spans="1:14" ht="15">
      <c r="A16" s="29" t="s">
        <v>264</v>
      </c>
      <c r="B16" s="29" t="s">
        <v>583</v>
      </c>
      <c r="C16" s="29" t="s">
        <v>584</v>
      </c>
      <c r="D16" s="29" t="s">
        <v>526</v>
      </c>
      <c r="E16" s="29" t="s">
        <v>263</v>
      </c>
      <c r="F16" s="29" t="s">
        <v>554</v>
      </c>
      <c r="G16" s="29" t="s">
        <v>529</v>
      </c>
      <c r="H16" s="29" t="s">
        <v>555</v>
      </c>
      <c r="I16" s="29" t="s">
        <v>531</v>
      </c>
      <c r="J16" s="29" t="s">
        <v>104</v>
      </c>
      <c r="K16" s="29"/>
      <c r="L16" s="29" t="s">
        <v>104</v>
      </c>
      <c r="M16" s="29">
        <v>15</v>
      </c>
      <c r="N16" s="29" t="s">
        <v>96</v>
      </c>
    </row>
    <row r="17" spans="1:14" ht="15">
      <c r="A17" s="29" t="s">
        <v>268</v>
      </c>
      <c r="B17" s="29" t="s">
        <v>266</v>
      </c>
      <c r="C17" s="29" t="s">
        <v>585</v>
      </c>
      <c r="D17" s="29" t="s">
        <v>551</v>
      </c>
      <c r="E17" s="29" t="s">
        <v>267</v>
      </c>
      <c r="F17" s="29" t="s">
        <v>556</v>
      </c>
      <c r="G17" s="29" t="s">
        <v>529</v>
      </c>
      <c r="H17" s="29" t="s">
        <v>555</v>
      </c>
      <c r="I17" s="29" t="s">
        <v>531</v>
      </c>
      <c r="J17" s="29" t="s">
        <v>104</v>
      </c>
      <c r="K17" s="29"/>
      <c r="L17" s="29" t="s">
        <v>104</v>
      </c>
      <c r="M17" s="29">
        <v>16</v>
      </c>
      <c r="N17" s="29" t="s">
        <v>96</v>
      </c>
    </row>
    <row r="18" spans="1:14" ht="15">
      <c r="A18" s="29" t="s">
        <v>272</v>
      </c>
      <c r="B18" s="29" t="s">
        <v>586</v>
      </c>
      <c r="C18" s="29" t="s">
        <v>587</v>
      </c>
      <c r="D18" s="29" t="s">
        <v>545</v>
      </c>
      <c r="E18" s="29" t="s">
        <v>271</v>
      </c>
      <c r="F18" s="29" t="s">
        <v>556</v>
      </c>
      <c r="G18" s="29" t="s">
        <v>529</v>
      </c>
      <c r="H18" s="29" t="s">
        <v>555</v>
      </c>
      <c r="I18" s="29" t="s">
        <v>531</v>
      </c>
      <c r="J18" s="29" t="s">
        <v>104</v>
      </c>
      <c r="K18" s="29"/>
      <c r="L18" s="29" t="s">
        <v>104</v>
      </c>
      <c r="M18" s="29">
        <v>17</v>
      </c>
      <c r="N18" s="29" t="s">
        <v>96</v>
      </c>
    </row>
    <row r="19" spans="1:14" ht="15">
      <c r="A19" s="29" t="s">
        <v>276</v>
      </c>
      <c r="B19" s="29" t="s">
        <v>588</v>
      </c>
      <c r="C19" s="29" t="s">
        <v>589</v>
      </c>
      <c r="D19" s="29" t="s">
        <v>532</v>
      </c>
      <c r="E19" s="29" t="s">
        <v>275</v>
      </c>
      <c r="F19" s="29" t="s">
        <v>556</v>
      </c>
      <c r="G19" s="29" t="s">
        <v>529</v>
      </c>
      <c r="H19" s="29" t="s">
        <v>555</v>
      </c>
      <c r="I19" s="29" t="s">
        <v>531</v>
      </c>
      <c r="J19" s="29" t="s">
        <v>104</v>
      </c>
      <c r="K19" s="29"/>
      <c r="L19" s="29" t="s">
        <v>104</v>
      </c>
      <c r="M19" s="29">
        <v>18</v>
      </c>
      <c r="N19" s="29" t="s">
        <v>96</v>
      </c>
    </row>
    <row r="20" spans="1:14" ht="15">
      <c r="A20" s="29" t="s">
        <v>280</v>
      </c>
      <c r="B20" s="29" t="s">
        <v>590</v>
      </c>
      <c r="C20" s="29" t="s">
        <v>591</v>
      </c>
      <c r="D20" s="29" t="s">
        <v>526</v>
      </c>
      <c r="E20" s="29" t="s">
        <v>279</v>
      </c>
      <c r="F20" s="29" t="s">
        <v>554</v>
      </c>
      <c r="G20" s="29" t="s">
        <v>529</v>
      </c>
      <c r="H20" s="29" t="s">
        <v>557</v>
      </c>
      <c r="I20" s="29" t="s">
        <v>531</v>
      </c>
      <c r="J20" s="29" t="s">
        <v>105</v>
      </c>
      <c r="K20" s="29"/>
      <c r="L20" s="29" t="s">
        <v>105</v>
      </c>
      <c r="M20" s="29">
        <v>19</v>
      </c>
      <c r="N20" s="29" t="s">
        <v>96</v>
      </c>
    </row>
    <row r="21" spans="1:14" ht="15">
      <c r="A21" s="29" t="s">
        <v>284</v>
      </c>
      <c r="B21" s="29" t="s">
        <v>592</v>
      </c>
      <c r="C21" s="29" t="s">
        <v>593</v>
      </c>
      <c r="D21" s="29" t="s">
        <v>540</v>
      </c>
      <c r="E21" s="29" t="s">
        <v>283</v>
      </c>
      <c r="F21" s="29" t="s">
        <v>542</v>
      </c>
      <c r="G21" s="29" t="s">
        <v>529</v>
      </c>
      <c r="H21" s="29" t="s">
        <v>558</v>
      </c>
      <c r="I21" s="29" t="s">
        <v>531</v>
      </c>
      <c r="J21" s="29" t="s">
        <v>108</v>
      </c>
      <c r="K21" s="29"/>
      <c r="L21" s="29" t="s">
        <v>108</v>
      </c>
      <c r="M21" s="29">
        <v>20</v>
      </c>
      <c r="N21" s="29" t="s">
        <v>115</v>
      </c>
    </row>
    <row r="22" spans="1:14" ht="15">
      <c r="A22" s="29" t="s">
        <v>287</v>
      </c>
      <c r="B22" s="29" t="s">
        <v>594</v>
      </c>
      <c r="C22" s="29" t="s">
        <v>595</v>
      </c>
      <c r="D22" s="29"/>
      <c r="E22" s="29" t="s">
        <v>285</v>
      </c>
      <c r="F22" s="29" t="s">
        <v>538</v>
      </c>
      <c r="G22" s="29" t="s">
        <v>529</v>
      </c>
      <c r="H22" s="29" t="s">
        <v>559</v>
      </c>
      <c r="I22" s="29" t="s">
        <v>531</v>
      </c>
      <c r="J22" s="29" t="s">
        <v>116</v>
      </c>
      <c r="K22" s="29"/>
      <c r="L22" s="29" t="s">
        <v>116</v>
      </c>
      <c r="M22" s="29">
        <v>21</v>
      </c>
      <c r="N22" s="29" t="s">
        <v>115</v>
      </c>
    </row>
    <row r="23" spans="1:14" ht="15">
      <c r="A23" s="29" t="s">
        <v>293</v>
      </c>
      <c r="B23" s="29" t="s">
        <v>596</v>
      </c>
      <c r="C23" s="29" t="s">
        <v>597</v>
      </c>
      <c r="D23" s="29" t="s">
        <v>551</v>
      </c>
      <c r="E23" s="29" t="s">
        <v>292</v>
      </c>
      <c r="F23" s="29" t="s">
        <v>553</v>
      </c>
      <c r="G23" s="29" t="s">
        <v>529</v>
      </c>
      <c r="H23" s="29" t="s">
        <v>560</v>
      </c>
      <c r="I23" s="29" t="s">
        <v>531</v>
      </c>
      <c r="J23" s="29" t="s">
        <v>104</v>
      </c>
      <c r="K23" s="29" t="s">
        <v>119</v>
      </c>
      <c r="L23" s="29" t="s">
        <v>104</v>
      </c>
      <c r="M23" s="29">
        <v>22</v>
      </c>
    </row>
    <row r="24" spans="1:14" ht="15">
      <c r="A24" s="29" t="s">
        <v>297</v>
      </c>
      <c r="B24" s="29" t="s">
        <v>598</v>
      </c>
      <c r="C24" s="29" t="s">
        <v>598</v>
      </c>
      <c r="D24" s="29" t="s">
        <v>526</v>
      </c>
      <c r="E24" s="29" t="s">
        <v>296</v>
      </c>
      <c r="F24" s="29" t="s">
        <v>554</v>
      </c>
      <c r="G24" s="29" t="s">
        <v>561</v>
      </c>
      <c r="H24" s="29" t="s">
        <v>562</v>
      </c>
      <c r="I24" s="29" t="s">
        <v>531</v>
      </c>
      <c r="J24" s="29" t="s">
        <v>104</v>
      </c>
      <c r="K24" s="29" t="s">
        <v>119</v>
      </c>
      <c r="L24" s="29" t="s">
        <v>104</v>
      </c>
      <c r="M24" s="29">
        <v>23</v>
      </c>
    </row>
    <row r="25" spans="1:14" ht="15">
      <c r="A25" s="29" t="s">
        <v>301</v>
      </c>
      <c r="B25" s="29" t="s">
        <v>599</v>
      </c>
      <c r="C25" s="29" t="s">
        <v>600</v>
      </c>
      <c r="D25" s="29" t="s">
        <v>540</v>
      </c>
      <c r="E25" s="29" t="s">
        <v>300</v>
      </c>
      <c r="F25" s="29" t="s">
        <v>542</v>
      </c>
      <c r="G25" s="29" t="s">
        <v>561</v>
      </c>
      <c r="H25" s="29" t="s">
        <v>562</v>
      </c>
      <c r="I25" s="29" t="s">
        <v>531</v>
      </c>
      <c r="J25" s="29" t="s">
        <v>127</v>
      </c>
      <c r="K25" s="29" t="s">
        <v>119</v>
      </c>
      <c r="L25" s="29" t="s">
        <v>127</v>
      </c>
      <c r="M25" s="29">
        <v>24</v>
      </c>
    </row>
    <row r="26" spans="1:14" ht="15">
      <c r="A26" s="29" t="s">
        <v>305</v>
      </c>
      <c r="B26" s="29" t="s">
        <v>601</v>
      </c>
      <c r="C26" s="29" t="s">
        <v>602</v>
      </c>
      <c r="D26" s="29" t="s">
        <v>532</v>
      </c>
      <c r="E26" s="29" t="s">
        <v>304</v>
      </c>
      <c r="F26" s="29" t="s">
        <v>544</v>
      </c>
      <c r="G26" s="29" t="s">
        <v>561</v>
      </c>
      <c r="H26" s="29" t="s">
        <v>562</v>
      </c>
      <c r="I26" s="29" t="s">
        <v>531</v>
      </c>
      <c r="J26" s="29" t="s">
        <v>111</v>
      </c>
      <c r="K26" s="29"/>
      <c r="L26" s="29" t="s">
        <v>111</v>
      </c>
      <c r="M26" s="29">
        <v>25</v>
      </c>
      <c r="N26" s="29" t="s">
        <v>115</v>
      </c>
    </row>
    <row r="27" spans="1:14" ht="15">
      <c r="A27" s="29" t="s">
        <v>309</v>
      </c>
      <c r="B27" s="29" t="s">
        <v>603</v>
      </c>
      <c r="C27" s="29" t="s">
        <v>603</v>
      </c>
      <c r="D27" s="29" t="s">
        <v>526</v>
      </c>
      <c r="E27" s="29" t="s">
        <v>308</v>
      </c>
      <c r="F27" s="29" t="s">
        <v>554</v>
      </c>
      <c r="G27" s="29" t="s">
        <v>561</v>
      </c>
      <c r="H27" s="29" t="s">
        <v>563</v>
      </c>
      <c r="I27" s="29" t="s">
        <v>531</v>
      </c>
      <c r="J27" s="29" t="s">
        <v>113</v>
      </c>
      <c r="K27" s="29"/>
      <c r="L27" s="29" t="s">
        <v>113</v>
      </c>
      <c r="M27" s="29">
        <v>26</v>
      </c>
      <c r="N27" s="29" t="s">
        <v>115</v>
      </c>
    </row>
    <row r="28" spans="1:14" ht="15">
      <c r="A28" s="29" t="s">
        <v>313</v>
      </c>
      <c r="B28" s="29" t="s">
        <v>601</v>
      </c>
      <c r="C28" s="29" t="s">
        <v>604</v>
      </c>
      <c r="D28" s="29" t="s">
        <v>551</v>
      </c>
      <c r="E28" s="29" t="s">
        <v>311</v>
      </c>
      <c r="F28" s="29" t="s">
        <v>553</v>
      </c>
      <c r="G28" s="29" t="s">
        <v>561</v>
      </c>
      <c r="H28" s="29" t="s">
        <v>563</v>
      </c>
      <c r="I28" s="29" t="s">
        <v>531</v>
      </c>
      <c r="J28" s="29" t="s">
        <v>113</v>
      </c>
      <c r="K28" s="29"/>
      <c r="L28" s="29" t="s">
        <v>113</v>
      </c>
      <c r="M28" s="29">
        <v>27</v>
      </c>
      <c r="N28" s="29" t="s">
        <v>115</v>
      </c>
    </row>
    <row r="29" spans="1:14" ht="15">
      <c r="A29" s="29" t="s">
        <v>317</v>
      </c>
      <c r="B29" s="29" t="s">
        <v>601</v>
      </c>
      <c r="C29" s="29" t="s">
        <v>605</v>
      </c>
      <c r="D29" s="29" t="s">
        <v>532</v>
      </c>
      <c r="E29" s="29" t="s">
        <v>316</v>
      </c>
      <c r="F29" s="29" t="s">
        <v>544</v>
      </c>
      <c r="G29" s="29" t="s">
        <v>564</v>
      </c>
      <c r="H29" s="29" t="s">
        <v>563</v>
      </c>
      <c r="I29" s="29" t="s">
        <v>531</v>
      </c>
      <c r="J29" s="29" t="s">
        <v>113</v>
      </c>
      <c r="K29" s="29"/>
      <c r="L29" s="29" t="s">
        <v>113</v>
      </c>
      <c r="M29" s="29">
        <v>28</v>
      </c>
      <c r="N29" s="29" t="s">
        <v>115</v>
      </c>
    </row>
    <row r="30" spans="1:14" ht="15">
      <c r="A30" s="29" t="s">
        <v>323</v>
      </c>
      <c r="B30" s="29" t="s">
        <v>606</v>
      </c>
      <c r="C30" s="29" t="s">
        <v>606</v>
      </c>
      <c r="D30" s="29"/>
      <c r="E30" s="29" t="s">
        <v>321</v>
      </c>
      <c r="F30" s="29" t="s">
        <v>547</v>
      </c>
      <c r="G30" s="29" t="s">
        <v>565</v>
      </c>
      <c r="H30" s="29" t="s">
        <v>566</v>
      </c>
      <c r="I30" s="29" t="s">
        <v>531</v>
      </c>
      <c r="J30" s="29" t="s">
        <v>114</v>
      </c>
      <c r="K30" s="29"/>
      <c r="L30" s="29" t="s">
        <v>114</v>
      </c>
      <c r="M30" s="29">
        <v>29</v>
      </c>
      <c r="N30" s="29" t="s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0518-FD46-445B-8311-50C3BB0AD773}">
  <dimension ref="A1:D6"/>
  <sheetViews>
    <sheetView workbookViewId="0">
      <selection activeCell="D13" sqref="D13"/>
    </sheetView>
  </sheetViews>
  <sheetFormatPr defaultRowHeight="14.45"/>
  <cols>
    <col min="1" max="1" width="11.42578125" bestFit="1" customWidth="1"/>
    <col min="2" max="2" width="11.28515625" bestFit="1" customWidth="1"/>
    <col min="3" max="3" width="18.85546875" bestFit="1" customWidth="1"/>
    <col min="4" max="4" width="16.5703125" bestFit="1" customWidth="1"/>
  </cols>
  <sheetData>
    <row r="1" spans="1:4">
      <c r="A1" t="s">
        <v>32</v>
      </c>
      <c r="B1" t="s">
        <v>28</v>
      </c>
      <c r="C1" t="s">
        <v>607</v>
      </c>
      <c r="D1" t="s">
        <v>608</v>
      </c>
    </row>
    <row r="2" spans="1:4">
      <c r="B2">
        <v>1</v>
      </c>
      <c r="C2" s="15">
        <v>0</v>
      </c>
      <c r="D2" s="15">
        <v>5.0000000000000001E-3</v>
      </c>
    </row>
    <row r="3" spans="1:4">
      <c r="B3">
        <v>2</v>
      </c>
      <c r="C3" s="15">
        <v>5.0000000000000001E-3</v>
      </c>
      <c r="D3" s="15">
        <v>1.4999999999999999E-2</v>
      </c>
    </row>
    <row r="4" spans="1:4">
      <c r="B4">
        <v>3</v>
      </c>
      <c r="C4" s="15">
        <v>0.13</v>
      </c>
      <c r="D4" s="15">
        <v>0.14000000000000001</v>
      </c>
    </row>
    <row r="5" spans="1:4">
      <c r="B5">
        <v>4</v>
      </c>
      <c r="C5" s="15">
        <v>0.06</v>
      </c>
      <c r="D5" s="15">
        <v>0.06</v>
      </c>
    </row>
    <row r="6" spans="1:4">
      <c r="B6">
        <v>5</v>
      </c>
      <c r="C6" s="15">
        <v>0.1</v>
      </c>
      <c r="D6" s="15">
        <v>0.1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7F95-C3F2-41CE-A647-C1BD9B8B2C7E}">
  <dimension ref="A1:J6"/>
  <sheetViews>
    <sheetView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32</v>
      </c>
      <c r="B1" t="s">
        <v>28</v>
      </c>
      <c r="C1" t="s">
        <v>609</v>
      </c>
      <c r="D1" t="s">
        <v>610</v>
      </c>
      <c r="E1" t="s">
        <v>611</v>
      </c>
      <c r="F1" t="s">
        <v>612</v>
      </c>
      <c r="G1" t="s">
        <v>613</v>
      </c>
      <c r="H1" t="s">
        <v>614</v>
      </c>
      <c r="I1" t="s">
        <v>615</v>
      </c>
      <c r="J1" t="s">
        <v>616</v>
      </c>
    </row>
    <row r="2" spans="1:10">
      <c r="B2">
        <v>1</v>
      </c>
      <c r="C2" s="55">
        <v>0</v>
      </c>
      <c r="D2" s="55">
        <v>0</v>
      </c>
      <c r="E2" s="55">
        <v>0</v>
      </c>
      <c r="F2" s="55">
        <v>0</v>
      </c>
      <c r="G2" s="55">
        <v>0</v>
      </c>
      <c r="H2" s="55">
        <v>0</v>
      </c>
      <c r="I2" s="55">
        <v>0</v>
      </c>
      <c r="J2" s="55">
        <v>0</v>
      </c>
    </row>
    <row r="3" spans="1:10">
      <c r="B3">
        <v>2</v>
      </c>
      <c r="C3" s="55">
        <v>0</v>
      </c>
      <c r="D3" s="55">
        <v>0.02</v>
      </c>
      <c r="E3" s="55">
        <v>0</v>
      </c>
      <c r="F3" s="55">
        <v>0.01</v>
      </c>
      <c r="G3" s="55">
        <v>0</v>
      </c>
      <c r="H3" s="55">
        <v>0</v>
      </c>
      <c r="I3" s="55">
        <v>0</v>
      </c>
      <c r="J3" s="55">
        <v>0</v>
      </c>
    </row>
    <row r="4" spans="1:10">
      <c r="B4">
        <v>3</v>
      </c>
      <c r="C4" s="55">
        <v>0.03</v>
      </c>
      <c r="D4" s="55">
        <v>0.04</v>
      </c>
      <c r="E4" s="55">
        <v>1.9999999999999997E-2</v>
      </c>
      <c r="F4" s="55">
        <v>0.03</v>
      </c>
      <c r="G4" s="55">
        <v>9.9999999999999967E-3</v>
      </c>
      <c r="H4" s="55">
        <v>1.9999999999999997E-2</v>
      </c>
      <c r="I4" s="55">
        <v>0</v>
      </c>
      <c r="J4" s="55">
        <v>9.9999999999999967E-3</v>
      </c>
    </row>
    <row r="5" spans="1:10">
      <c r="B5">
        <v>4</v>
      </c>
      <c r="C5" s="55">
        <v>3.5000000000000003E-2</v>
      </c>
      <c r="D5" s="55">
        <v>5.5E-2</v>
      </c>
      <c r="E5" s="55">
        <v>2.5000000000000001E-2</v>
      </c>
      <c r="F5" s="55">
        <v>4.4999999999999998E-2</v>
      </c>
      <c r="G5" s="55">
        <v>1.5000000000000001E-2</v>
      </c>
      <c r="H5" s="55">
        <v>3.4999999999999996E-2</v>
      </c>
      <c r="I5" s="55">
        <v>5.000000000000001E-3</v>
      </c>
      <c r="J5" s="55">
        <v>2.4999999999999994E-2</v>
      </c>
    </row>
    <row r="6" spans="1:10">
      <c r="B6">
        <v>5</v>
      </c>
      <c r="C6" s="55">
        <v>0.05</v>
      </c>
      <c r="D6" s="55">
        <v>7.0000000000000007E-2</v>
      </c>
      <c r="E6" s="55">
        <v>0.04</v>
      </c>
      <c r="F6" s="55">
        <v>6.0000000000000005E-2</v>
      </c>
      <c r="G6" s="55">
        <v>0.03</v>
      </c>
      <c r="H6" s="55">
        <v>0.05</v>
      </c>
      <c r="I6" s="55">
        <v>1.9999999999999997E-2</v>
      </c>
      <c r="J6" s="55">
        <v>0.04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04AB-1B67-4C18-AB1B-AD6A6F59204B}">
  <dimension ref="A1:J6"/>
  <sheetViews>
    <sheetView topLeftCell="B1" workbookViewId="0">
      <selection activeCell="B2" sqref="B2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32</v>
      </c>
      <c r="B1" t="s">
        <v>28</v>
      </c>
      <c r="C1" t="s">
        <v>609</v>
      </c>
      <c r="D1" t="s">
        <v>610</v>
      </c>
      <c r="E1" t="s">
        <v>611</v>
      </c>
      <c r="F1" t="s">
        <v>612</v>
      </c>
      <c r="G1" t="s">
        <v>613</v>
      </c>
      <c r="H1" t="s">
        <v>614</v>
      </c>
      <c r="I1" t="s">
        <v>615</v>
      </c>
      <c r="J1" t="s">
        <v>616</v>
      </c>
    </row>
    <row r="2" spans="1:10">
      <c r="B2">
        <v>1</v>
      </c>
      <c r="C2" s="56">
        <f>'GL Matrix'!C2+1%-1%</f>
        <v>0</v>
      </c>
      <c r="D2" s="56">
        <f>'GL Matrix'!D2+1%-1%</f>
        <v>0</v>
      </c>
      <c r="E2" s="56">
        <f>'GL Matrix'!E2+1%-1%</f>
        <v>0</v>
      </c>
      <c r="F2" s="56">
        <f>'GL Matrix'!F2+1%-1%</f>
        <v>0</v>
      </c>
      <c r="G2" s="56">
        <f>'GL Matrix'!G2+1%-1%</f>
        <v>0</v>
      </c>
      <c r="H2" s="56">
        <f>'GL Matrix'!H2+1%-1%</f>
        <v>0</v>
      </c>
      <c r="I2" s="56">
        <f>'GL Matrix'!I2+1%-1%</f>
        <v>0</v>
      </c>
      <c r="J2" s="56">
        <f>'GL Matrix'!J2+1%-1%</f>
        <v>0</v>
      </c>
    </row>
    <row r="3" spans="1:10">
      <c r="B3">
        <v>2</v>
      </c>
      <c r="C3" s="56">
        <f>'GL Matrix'!C3+1%-1%</f>
        <v>0</v>
      </c>
      <c r="D3" s="56">
        <f>'GL Matrix'!D3+1%-1%</f>
        <v>1.9999999999999997E-2</v>
      </c>
      <c r="E3" s="56">
        <f>'GL Matrix'!E3+1%-1%</f>
        <v>0</v>
      </c>
      <c r="F3" s="56">
        <f>'GL Matrix'!F3+1%-1%</f>
        <v>0.01</v>
      </c>
      <c r="G3" s="56">
        <f>'GL Matrix'!G3+1%-1%</f>
        <v>0</v>
      </c>
      <c r="H3" s="56">
        <f>'GL Matrix'!H3+1%-1%</f>
        <v>0</v>
      </c>
      <c r="I3" s="56">
        <f>'GL Matrix'!I3+1%-1%</f>
        <v>0</v>
      </c>
      <c r="J3" s="56">
        <f>'GL Matrix'!J3+1%-1%</f>
        <v>0</v>
      </c>
    </row>
    <row r="4" spans="1:10">
      <c r="B4">
        <v>3</v>
      </c>
      <c r="C4" s="56">
        <f>'GL Matrix'!C4+1%-1%</f>
        <v>0.03</v>
      </c>
      <c r="D4" s="56">
        <f>'GL Matrix'!D4+1%-1%</f>
        <v>0.04</v>
      </c>
      <c r="E4" s="56">
        <f>'GL Matrix'!E4+1%-1%</f>
        <v>1.9999999999999997E-2</v>
      </c>
      <c r="F4" s="56">
        <f>'GL Matrix'!F4+1%-1%</f>
        <v>0.03</v>
      </c>
      <c r="G4" s="56">
        <f>'GL Matrix'!G4+1%-1%</f>
        <v>9.9999999999999967E-3</v>
      </c>
      <c r="H4" s="56">
        <f>'GL Matrix'!H4+1%-1%</f>
        <v>1.9999999999999997E-2</v>
      </c>
      <c r="I4" s="56">
        <f>'GL Matrix'!I4+1%-1%</f>
        <v>0</v>
      </c>
      <c r="J4" s="56">
        <f>'GL Matrix'!J4+1%-1%</f>
        <v>9.9999999999999967E-3</v>
      </c>
    </row>
    <row r="5" spans="1:10">
      <c r="B5">
        <v>4</v>
      </c>
      <c r="C5" s="56">
        <f>'GL Matrix'!C5+1%-1%</f>
        <v>3.5000000000000003E-2</v>
      </c>
      <c r="D5" s="56">
        <f>'GL Matrix'!D5+1%-1%</f>
        <v>5.5E-2</v>
      </c>
      <c r="E5" s="56">
        <f>'GL Matrix'!E5+1%-1%</f>
        <v>2.5000000000000001E-2</v>
      </c>
      <c r="F5" s="56">
        <f>'GL Matrix'!F5+1%-1%</f>
        <v>4.4999999999999998E-2</v>
      </c>
      <c r="G5" s="56">
        <f>'GL Matrix'!G5+1%-1%</f>
        <v>1.5000000000000001E-2</v>
      </c>
      <c r="H5" s="56">
        <f>'GL Matrix'!H5+1%-1%</f>
        <v>3.4999999999999996E-2</v>
      </c>
      <c r="I5" s="56">
        <f>'GL Matrix'!I5+1%-1%</f>
        <v>5.000000000000001E-3</v>
      </c>
      <c r="J5" s="56">
        <f>'GL Matrix'!J5+1%-1%</f>
        <v>2.4999999999999994E-2</v>
      </c>
    </row>
    <row r="6" spans="1:10">
      <c r="B6">
        <v>5</v>
      </c>
      <c r="C6" s="56">
        <f>'GL Matrix'!C6+1%-1%</f>
        <v>0.05</v>
      </c>
      <c r="D6" s="56">
        <f>'GL Matrix'!D6+1%-1%</f>
        <v>7.0000000000000007E-2</v>
      </c>
      <c r="E6" s="56">
        <f>'GL Matrix'!E6+1%-1%</f>
        <v>0.04</v>
      </c>
      <c r="F6" s="56">
        <f>'GL Matrix'!F6+1%-1%</f>
        <v>6.0000000000000005E-2</v>
      </c>
      <c r="G6" s="56">
        <f>'GL Matrix'!G6+1%-1%</f>
        <v>0.03</v>
      </c>
      <c r="H6" s="56">
        <f>'GL Matrix'!H6+1%-1%</f>
        <v>0.05</v>
      </c>
      <c r="I6" s="56">
        <f>'GL Matrix'!I6+1%-1%</f>
        <v>1.9999999999999997E-2</v>
      </c>
      <c r="J6" s="56">
        <f>'GL Matrix'!J6+1%-1%</f>
        <v>0.04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587F-8DD8-4479-9B5F-96A913CA51E3}">
  <dimension ref="A1:J6"/>
  <sheetViews>
    <sheetView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32</v>
      </c>
      <c r="B1" t="s">
        <v>28</v>
      </c>
      <c r="C1" t="s">
        <v>609</v>
      </c>
      <c r="D1" t="s">
        <v>610</v>
      </c>
      <c r="E1" t="s">
        <v>611</v>
      </c>
      <c r="F1" t="s">
        <v>612</v>
      </c>
      <c r="G1" t="s">
        <v>613</v>
      </c>
      <c r="H1" t="s">
        <v>614</v>
      </c>
      <c r="I1" t="s">
        <v>615</v>
      </c>
      <c r="J1" t="s">
        <v>616</v>
      </c>
    </row>
    <row r="2" spans="1:10">
      <c r="B2">
        <v>1</v>
      </c>
      <c r="C2" s="57">
        <v>0</v>
      </c>
      <c r="D2" s="57">
        <v>0</v>
      </c>
      <c r="E2" s="57">
        <v>0</v>
      </c>
      <c r="F2" s="57">
        <v>0</v>
      </c>
      <c r="G2" s="57">
        <v>0</v>
      </c>
      <c r="H2" s="57">
        <v>0</v>
      </c>
      <c r="I2" s="57">
        <v>0</v>
      </c>
      <c r="J2" s="57">
        <v>0</v>
      </c>
    </row>
    <row r="3" spans="1:10">
      <c r="B3">
        <v>2</v>
      </c>
      <c r="C3" s="57">
        <v>0</v>
      </c>
      <c r="D3" s="57">
        <v>1.9999999999999998</v>
      </c>
      <c r="E3" s="57">
        <v>0</v>
      </c>
      <c r="F3" s="57">
        <v>1</v>
      </c>
      <c r="G3" s="57">
        <v>0</v>
      </c>
      <c r="H3" s="57">
        <v>0</v>
      </c>
      <c r="I3" s="57">
        <v>0</v>
      </c>
      <c r="J3" s="57">
        <v>0</v>
      </c>
    </row>
    <row r="4" spans="1:10">
      <c r="B4">
        <v>3</v>
      </c>
      <c r="C4" s="57">
        <v>3</v>
      </c>
      <c r="D4" s="57">
        <v>4</v>
      </c>
      <c r="E4" s="57">
        <v>1.9999999999999998</v>
      </c>
      <c r="F4" s="57">
        <v>3</v>
      </c>
      <c r="G4" s="57">
        <v>0.99999999999999967</v>
      </c>
      <c r="H4" s="57">
        <v>1.9999999999999998</v>
      </c>
      <c r="I4" s="57">
        <v>0</v>
      </c>
      <c r="J4" s="57">
        <v>0.99999999999999967</v>
      </c>
    </row>
    <row r="5" spans="1:10">
      <c r="B5">
        <v>4</v>
      </c>
      <c r="C5" s="57">
        <v>3.5000000000000004</v>
      </c>
      <c r="D5" s="57">
        <v>5.5</v>
      </c>
      <c r="E5" s="57">
        <v>2.5</v>
      </c>
      <c r="F5" s="57">
        <v>4.5</v>
      </c>
      <c r="G5" s="57">
        <v>1.5000000000000002</v>
      </c>
      <c r="H5" s="57">
        <v>3.4999999999999996</v>
      </c>
      <c r="I5" s="57">
        <v>0.50000000000000011</v>
      </c>
      <c r="J5" s="57">
        <v>2.4999999999999996</v>
      </c>
    </row>
    <row r="6" spans="1:10">
      <c r="B6">
        <v>5</v>
      </c>
      <c r="C6" s="57">
        <v>5</v>
      </c>
      <c r="D6" s="57">
        <v>7.0000000000000009</v>
      </c>
      <c r="E6" s="57">
        <v>4</v>
      </c>
      <c r="F6" s="57">
        <v>6.0000000000000009</v>
      </c>
      <c r="G6" s="57">
        <v>3</v>
      </c>
      <c r="H6" s="57">
        <v>5</v>
      </c>
      <c r="I6" s="57">
        <v>1.9999999999999998</v>
      </c>
      <c r="J6" s="57">
        <v>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E741-8807-41DA-9303-D32D4DC872A8}">
  <dimension ref="A1:J6"/>
  <sheetViews>
    <sheetView topLeftCell="B1"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32</v>
      </c>
      <c r="B1" t="s">
        <v>28</v>
      </c>
      <c r="C1" t="s">
        <v>609</v>
      </c>
      <c r="D1" t="s">
        <v>610</v>
      </c>
      <c r="E1" t="s">
        <v>611</v>
      </c>
      <c r="F1" t="s">
        <v>612</v>
      </c>
      <c r="G1" t="s">
        <v>613</v>
      </c>
      <c r="H1" t="s">
        <v>614</v>
      </c>
      <c r="I1" t="s">
        <v>615</v>
      </c>
      <c r="J1" t="s">
        <v>616</v>
      </c>
    </row>
    <row r="2" spans="1:10">
      <c r="B2">
        <v>1</v>
      </c>
      <c r="C2" s="57">
        <f>'GL Matrix'!C2*100</f>
        <v>0</v>
      </c>
      <c r="D2" s="57">
        <f>'GL Matrix'!D2*100</f>
        <v>0</v>
      </c>
      <c r="E2" s="57">
        <f>'GL Matrix'!E2*100</f>
        <v>0</v>
      </c>
      <c r="F2" s="57">
        <f>'GL Matrix'!F2*100</f>
        <v>0</v>
      </c>
      <c r="G2" s="57">
        <f>'GL Matrix'!G2*100</f>
        <v>0</v>
      </c>
      <c r="H2" s="57">
        <f>'GL Matrix'!H2*100</f>
        <v>0</v>
      </c>
      <c r="I2" s="57">
        <f>'GL Matrix'!I2*100</f>
        <v>0</v>
      </c>
      <c r="J2" s="57">
        <f>'GL Matrix'!J2*100</f>
        <v>0</v>
      </c>
    </row>
    <row r="3" spans="1:10">
      <c r="B3">
        <v>2</v>
      </c>
      <c r="C3" s="57">
        <f>'GL Matrix'!C3*100</f>
        <v>0</v>
      </c>
      <c r="D3" s="57">
        <f>'GL Matrix'!D3*100</f>
        <v>2</v>
      </c>
      <c r="E3" s="57">
        <f>'GL Matrix'!E3*100</f>
        <v>0</v>
      </c>
      <c r="F3" s="57">
        <f>'GL Matrix'!F3*100</f>
        <v>1</v>
      </c>
      <c r="G3" s="57">
        <f>'GL Matrix'!G3*100</f>
        <v>0</v>
      </c>
      <c r="H3" s="57">
        <f>'GL Matrix'!H3*100</f>
        <v>0</v>
      </c>
      <c r="I3" s="57">
        <f>'GL Matrix'!I3*100</f>
        <v>0</v>
      </c>
      <c r="J3" s="57">
        <f>'GL Matrix'!J3*100</f>
        <v>0</v>
      </c>
    </row>
    <row r="4" spans="1:10">
      <c r="B4">
        <v>3</v>
      </c>
      <c r="C4" s="57">
        <f>'GL Matrix'!C4*100</f>
        <v>3</v>
      </c>
      <c r="D4" s="57">
        <f>'GL Matrix'!D4*100</f>
        <v>4</v>
      </c>
      <c r="E4" s="57">
        <f>'GL Matrix'!E4*100</f>
        <v>1.9999999999999998</v>
      </c>
      <c r="F4" s="57">
        <f>'GL Matrix'!F4*100</f>
        <v>3</v>
      </c>
      <c r="G4" s="57">
        <f>'GL Matrix'!G4*100</f>
        <v>0.99999999999999967</v>
      </c>
      <c r="H4" s="57">
        <f>'GL Matrix'!H4*100</f>
        <v>1.9999999999999998</v>
      </c>
      <c r="I4" s="57">
        <f>'GL Matrix'!I4*100</f>
        <v>0</v>
      </c>
      <c r="J4" s="57">
        <f>'GL Matrix'!J4*100</f>
        <v>0.99999999999999967</v>
      </c>
    </row>
    <row r="5" spans="1:10">
      <c r="B5">
        <v>4</v>
      </c>
      <c r="C5" s="57">
        <f>'GL Matrix'!C5*100</f>
        <v>3.5000000000000004</v>
      </c>
      <c r="D5" s="57">
        <f>'GL Matrix'!D5*100</f>
        <v>5.5</v>
      </c>
      <c r="E5" s="57">
        <f>'GL Matrix'!E5*100</f>
        <v>2.5</v>
      </c>
      <c r="F5" s="57">
        <f>'GL Matrix'!F5*100</f>
        <v>4.5</v>
      </c>
      <c r="G5" s="57">
        <f>'GL Matrix'!G5*100</f>
        <v>1.5000000000000002</v>
      </c>
      <c r="H5" s="57">
        <f>'GL Matrix'!H5*100</f>
        <v>3.4999999999999996</v>
      </c>
      <c r="I5" s="57">
        <f>'GL Matrix'!I5*100</f>
        <v>0.50000000000000011</v>
      </c>
      <c r="J5" s="57">
        <f>'GL Matrix'!J5*100</f>
        <v>2.4999999999999996</v>
      </c>
    </row>
    <row r="6" spans="1:10">
      <c r="B6">
        <v>5</v>
      </c>
      <c r="C6" s="57">
        <f>'GL Matrix'!C6*100</f>
        <v>5</v>
      </c>
      <c r="D6" s="57">
        <f>'GL Matrix'!D6*100</f>
        <v>7.0000000000000009</v>
      </c>
      <c r="E6" s="57">
        <f>'GL Matrix'!E6*100</f>
        <v>4</v>
      </c>
      <c r="F6" s="57">
        <f>'GL Matrix'!F6*100</f>
        <v>6.0000000000000009</v>
      </c>
      <c r="G6" s="57">
        <f>'GL Matrix'!G6*100</f>
        <v>3</v>
      </c>
      <c r="H6" s="57">
        <f>'GL Matrix'!H6*100</f>
        <v>5</v>
      </c>
      <c r="I6" s="57">
        <f>'GL Matrix'!I6*100</f>
        <v>1.9999999999999998</v>
      </c>
      <c r="J6" s="57">
        <f>'GL Matrix'!J6*100</f>
        <v>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C3AC-112D-4F1F-9F95-2ACCFC773BF6}">
  <dimension ref="A1:T6"/>
  <sheetViews>
    <sheetView workbookViewId="0">
      <selection activeCell="B3" sqref="B3:J24"/>
    </sheetView>
  </sheetViews>
  <sheetFormatPr defaultRowHeight="14.45"/>
  <cols>
    <col min="1" max="1" width="14.7109375" bestFit="1" customWidth="1"/>
    <col min="2" max="2" width="17.85546875" customWidth="1"/>
  </cols>
  <sheetData>
    <row r="1" spans="1:20">
      <c r="A1" t="s">
        <v>32</v>
      </c>
      <c r="B1" t="s">
        <v>28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632</v>
      </c>
      <c r="S1" t="s">
        <v>633</v>
      </c>
      <c r="T1" t="s">
        <v>634</v>
      </c>
    </row>
    <row r="2" spans="1:20">
      <c r="B2">
        <v>1</v>
      </c>
      <c r="C2" s="15">
        <f>'GL First'!C2+0</f>
        <v>0</v>
      </c>
      <c r="D2" s="15">
        <f>'GL First'!D2+0</f>
        <v>0</v>
      </c>
      <c r="E2" s="15">
        <f>'GL First'!E2+0</f>
        <v>0</v>
      </c>
      <c r="F2" s="15">
        <f>'GL First'!F2+0</f>
        <v>0</v>
      </c>
      <c r="G2" s="15">
        <f>'GL First'!G2+0</f>
        <v>0</v>
      </c>
      <c r="H2" s="15">
        <f>'GL First'!H2+0</f>
        <v>0</v>
      </c>
      <c r="I2" s="15">
        <f>'GL First'!I2+0</f>
        <v>0</v>
      </c>
      <c r="J2" s="15">
        <f>'GL First'!J2+0</f>
        <v>0</v>
      </c>
      <c r="K2" s="15">
        <f>J2+0.25%</f>
        <v>2.5000000000000001E-3</v>
      </c>
      <c r="L2" s="15">
        <f t="shared" ref="L2:T2" si="0">K2+0.25%</f>
        <v>5.0000000000000001E-3</v>
      </c>
      <c r="M2" s="15">
        <f t="shared" si="0"/>
        <v>7.4999999999999997E-3</v>
      </c>
      <c r="N2" s="15">
        <f t="shared" si="0"/>
        <v>0.01</v>
      </c>
      <c r="O2" s="15">
        <f t="shared" si="0"/>
        <v>1.2500000000000001E-2</v>
      </c>
      <c r="P2" s="15">
        <f t="shared" si="0"/>
        <v>1.5000000000000001E-2</v>
      </c>
      <c r="Q2" s="15">
        <f t="shared" si="0"/>
        <v>1.7500000000000002E-2</v>
      </c>
      <c r="R2" s="15">
        <f t="shared" si="0"/>
        <v>0.02</v>
      </c>
      <c r="S2" s="15">
        <f t="shared" si="0"/>
        <v>2.2499999999999999E-2</v>
      </c>
      <c r="T2" s="15">
        <f t="shared" si="0"/>
        <v>2.4999999999999998E-2</v>
      </c>
    </row>
    <row r="3" spans="1:20">
      <c r="B3">
        <v>2</v>
      </c>
      <c r="C3" s="15">
        <f>'GL First'!C3+0</f>
        <v>0</v>
      </c>
      <c r="D3" s="15">
        <f>'GL First'!D3+0</f>
        <v>1.9999999999999997E-2</v>
      </c>
      <c r="E3" s="15">
        <f>'GL First'!E3+0</f>
        <v>0</v>
      </c>
      <c r="F3" s="15">
        <f>'GL First'!F3+0</f>
        <v>0.01</v>
      </c>
      <c r="G3" s="15">
        <f>'GL First'!G3+0</f>
        <v>0</v>
      </c>
      <c r="H3" s="15">
        <f>'GL First'!H3+0</f>
        <v>0</v>
      </c>
      <c r="I3" s="15">
        <f>'GL First'!I3+0</f>
        <v>0</v>
      </c>
      <c r="J3" s="15">
        <f>'GL First'!J3+0</f>
        <v>0</v>
      </c>
      <c r="K3" s="15">
        <f t="shared" ref="K3:T6" si="1">J3+0.25%</f>
        <v>2.5000000000000001E-3</v>
      </c>
      <c r="L3" s="15">
        <f t="shared" si="1"/>
        <v>5.0000000000000001E-3</v>
      </c>
      <c r="M3" s="15">
        <f t="shared" si="1"/>
        <v>7.4999999999999997E-3</v>
      </c>
      <c r="N3" s="15">
        <f t="shared" si="1"/>
        <v>0.01</v>
      </c>
      <c r="O3" s="15">
        <f t="shared" si="1"/>
        <v>1.2500000000000001E-2</v>
      </c>
      <c r="P3" s="15">
        <f t="shared" si="1"/>
        <v>1.5000000000000001E-2</v>
      </c>
      <c r="Q3" s="15">
        <f t="shared" si="1"/>
        <v>1.7500000000000002E-2</v>
      </c>
      <c r="R3" s="15">
        <f t="shared" si="1"/>
        <v>0.02</v>
      </c>
      <c r="S3" s="15">
        <f t="shared" si="1"/>
        <v>2.2499999999999999E-2</v>
      </c>
      <c r="T3" s="15">
        <f t="shared" si="1"/>
        <v>2.4999999999999998E-2</v>
      </c>
    </row>
    <row r="4" spans="1:20">
      <c r="B4">
        <v>3</v>
      </c>
      <c r="C4" s="15">
        <f>'GL First'!C4+0</f>
        <v>0.03</v>
      </c>
      <c r="D4" s="15">
        <f>'GL First'!D4+0</f>
        <v>0.04</v>
      </c>
      <c r="E4" s="15">
        <f>'GL First'!E4+0</f>
        <v>1.9999999999999997E-2</v>
      </c>
      <c r="F4" s="15">
        <f>'GL First'!F4+0</f>
        <v>0.03</v>
      </c>
      <c r="G4" s="15">
        <f>'GL First'!G4+0</f>
        <v>9.9999999999999967E-3</v>
      </c>
      <c r="H4" s="15">
        <f>'GL First'!H4+0</f>
        <v>1.9999999999999997E-2</v>
      </c>
      <c r="I4" s="15">
        <f>'GL First'!I4+0</f>
        <v>0</v>
      </c>
      <c r="J4" s="15">
        <f>'GL First'!J4+0</f>
        <v>9.9999999999999967E-3</v>
      </c>
      <c r="K4" s="15">
        <f t="shared" si="1"/>
        <v>1.2499999999999997E-2</v>
      </c>
      <c r="L4" s="15">
        <f t="shared" si="1"/>
        <v>1.4999999999999998E-2</v>
      </c>
      <c r="M4" s="15">
        <f t="shared" si="1"/>
        <v>1.7499999999999998E-2</v>
      </c>
      <c r="N4" s="15">
        <f t="shared" si="1"/>
        <v>1.9999999999999997E-2</v>
      </c>
      <c r="O4" s="15">
        <f t="shared" si="1"/>
        <v>2.2499999999999996E-2</v>
      </c>
      <c r="P4" s="15">
        <f t="shared" si="1"/>
        <v>2.4999999999999994E-2</v>
      </c>
      <c r="Q4" s="15">
        <f t="shared" si="1"/>
        <v>2.7499999999999993E-2</v>
      </c>
      <c r="R4" s="15">
        <f t="shared" si="1"/>
        <v>2.9999999999999992E-2</v>
      </c>
      <c r="S4" s="15">
        <f t="shared" si="1"/>
        <v>3.2499999999999994E-2</v>
      </c>
      <c r="T4" s="15">
        <f t="shared" si="1"/>
        <v>3.4999999999999996E-2</v>
      </c>
    </row>
    <row r="5" spans="1:20">
      <c r="B5">
        <v>4</v>
      </c>
      <c r="C5" s="15">
        <f>'GL First'!C5+0</f>
        <v>3.5000000000000003E-2</v>
      </c>
      <c r="D5" s="15">
        <f>'GL First'!D5+0</f>
        <v>5.5E-2</v>
      </c>
      <c r="E5" s="15">
        <f>'GL First'!E5+0</f>
        <v>2.5000000000000001E-2</v>
      </c>
      <c r="F5" s="15">
        <f>'GL First'!F5+0</f>
        <v>4.4999999999999998E-2</v>
      </c>
      <c r="G5" s="15">
        <f>'GL First'!G5+0</f>
        <v>1.5000000000000001E-2</v>
      </c>
      <c r="H5" s="15">
        <f>'GL First'!H5+0</f>
        <v>3.4999999999999996E-2</v>
      </c>
      <c r="I5" s="15">
        <f>'GL First'!I5+0</f>
        <v>5.000000000000001E-3</v>
      </c>
      <c r="J5" s="15">
        <f>'GL First'!J5+0</f>
        <v>2.4999999999999994E-2</v>
      </c>
      <c r="K5" s="15">
        <f t="shared" si="1"/>
        <v>2.7499999999999993E-2</v>
      </c>
      <c r="L5" s="15">
        <f t="shared" si="1"/>
        <v>2.9999999999999992E-2</v>
      </c>
      <c r="M5" s="15">
        <f t="shared" si="1"/>
        <v>3.2499999999999994E-2</v>
      </c>
      <c r="N5" s="15">
        <f t="shared" si="1"/>
        <v>3.4999999999999996E-2</v>
      </c>
      <c r="O5" s="15">
        <f t="shared" si="1"/>
        <v>3.7499999999999999E-2</v>
      </c>
      <c r="P5" s="15">
        <f t="shared" si="1"/>
        <v>0.04</v>
      </c>
      <c r="Q5" s="15">
        <f t="shared" si="1"/>
        <v>4.2500000000000003E-2</v>
      </c>
      <c r="R5" s="15">
        <f t="shared" si="1"/>
        <v>4.5000000000000005E-2</v>
      </c>
      <c r="S5" s="15">
        <f t="shared" si="1"/>
        <v>4.7500000000000007E-2</v>
      </c>
      <c r="T5" s="15">
        <f t="shared" si="1"/>
        <v>5.000000000000001E-2</v>
      </c>
    </row>
    <row r="6" spans="1:20">
      <c r="B6">
        <v>5</v>
      </c>
      <c r="C6" s="15">
        <f>'GL First'!C6+0</f>
        <v>0.05</v>
      </c>
      <c r="D6" s="15">
        <f>'GL First'!D6+0</f>
        <v>7.0000000000000007E-2</v>
      </c>
      <c r="E6" s="15">
        <f>'GL First'!E6+0</f>
        <v>0.04</v>
      </c>
      <c r="F6" s="15">
        <f>'GL First'!F6+0</f>
        <v>6.0000000000000005E-2</v>
      </c>
      <c r="G6" s="15">
        <f>'GL First'!G6+0</f>
        <v>0.03</v>
      </c>
      <c r="H6" s="15">
        <f>'GL First'!H6+0</f>
        <v>0.05</v>
      </c>
      <c r="I6" s="15">
        <f>'GL First'!I6+0</f>
        <v>1.9999999999999997E-2</v>
      </c>
      <c r="J6" s="15">
        <f>'GL First'!J6+0</f>
        <v>0.04</v>
      </c>
      <c r="K6" s="15">
        <f t="shared" si="1"/>
        <v>4.2500000000000003E-2</v>
      </c>
      <c r="L6" s="15">
        <f t="shared" si="1"/>
        <v>4.5000000000000005E-2</v>
      </c>
      <c r="M6" s="15">
        <f t="shared" si="1"/>
        <v>4.7500000000000007E-2</v>
      </c>
      <c r="N6" s="15">
        <f t="shared" si="1"/>
        <v>5.000000000000001E-2</v>
      </c>
      <c r="O6" s="15">
        <f t="shared" si="1"/>
        <v>5.2500000000000012E-2</v>
      </c>
      <c r="P6" s="15">
        <f t="shared" si="1"/>
        <v>5.5000000000000014E-2</v>
      </c>
      <c r="Q6" s="15">
        <f t="shared" si="1"/>
        <v>5.7500000000000016E-2</v>
      </c>
      <c r="R6" s="15">
        <f t="shared" si="1"/>
        <v>6.0000000000000019E-2</v>
      </c>
      <c r="S6" s="15">
        <f t="shared" si="1"/>
        <v>6.2500000000000014E-2</v>
      </c>
      <c r="T6" s="15">
        <f t="shared" si="1"/>
        <v>6.5000000000000016E-2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C208-937A-4FAF-A3BF-92F886597ACD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CC51-D34D-458F-9B98-321D24834D3D}">
  <dimension ref="A1:AA66"/>
  <sheetViews>
    <sheetView workbookViewId="0">
      <selection activeCell="F23" sqref="F23"/>
    </sheetView>
  </sheetViews>
  <sheetFormatPr defaultRowHeight="14.45"/>
  <cols>
    <col min="1" max="1" width="14.28515625" customWidth="1"/>
    <col min="2" max="2" width="15.42578125" bestFit="1" customWidth="1"/>
    <col min="3" max="3" width="22.140625" customWidth="1"/>
    <col min="4" max="4" width="19" customWidth="1"/>
    <col min="5" max="5" width="10" customWidth="1"/>
    <col min="6" max="6" width="25.28515625" customWidth="1"/>
    <col min="7" max="7" width="13.85546875" bestFit="1" customWidth="1"/>
    <col min="8" max="8" width="17.42578125" bestFit="1" customWidth="1"/>
    <col min="9" max="9" width="18.7109375" bestFit="1" customWidth="1"/>
    <col min="10" max="10" width="17.42578125" customWidth="1"/>
    <col min="11" max="11" width="12.140625" customWidth="1"/>
    <col min="12" max="12" width="34" bestFit="1" customWidth="1"/>
    <col min="13" max="13" width="14" bestFit="1" customWidth="1"/>
    <col min="14" max="14" width="16.7109375" bestFit="1" customWidth="1"/>
    <col min="15" max="15" width="12.85546875" bestFit="1" customWidth="1"/>
    <col min="16" max="16" width="13" bestFit="1" customWidth="1"/>
    <col min="17" max="17" width="16.7109375" bestFit="1" customWidth="1"/>
    <col min="18" max="18" width="11.28515625" bestFit="1" customWidth="1"/>
    <col min="19" max="19" width="18.140625" bestFit="1" customWidth="1"/>
    <col min="23" max="23" width="21.42578125" bestFit="1" customWidth="1"/>
    <col min="24" max="24" width="13.7109375" bestFit="1" customWidth="1"/>
    <col min="25" max="25" width="19.5703125" bestFit="1" customWidth="1"/>
    <col min="26" max="26" width="13.7109375" bestFit="1" customWidth="1"/>
    <col min="27" max="27" width="18.5703125" bestFit="1" customWidth="1"/>
    <col min="28" max="28" width="22" customWidth="1"/>
    <col min="29" max="29" width="27" customWidth="1"/>
  </cols>
  <sheetData>
    <row r="1" spans="1:27">
      <c r="A1" t="s">
        <v>128</v>
      </c>
      <c r="B1" t="s">
        <v>385</v>
      </c>
      <c r="C1" t="s">
        <v>391</v>
      </c>
      <c r="D1" s="1"/>
      <c r="E1" s="1"/>
      <c r="P1" s="1"/>
      <c r="Q1" s="3"/>
      <c r="R1" s="4"/>
      <c r="S1" s="4"/>
      <c r="W1" s="1"/>
      <c r="AA1" s="14"/>
    </row>
    <row r="2" spans="1:27">
      <c r="A2">
        <v>2009</v>
      </c>
      <c r="B2" t="s">
        <v>407</v>
      </c>
      <c r="C2" s="13">
        <v>100</v>
      </c>
      <c r="D2" s="1"/>
      <c r="E2" s="1"/>
      <c r="P2" s="1"/>
      <c r="Q2" s="3"/>
      <c r="R2" s="4"/>
      <c r="S2" s="4"/>
      <c r="W2" s="1"/>
      <c r="AA2" s="14"/>
    </row>
    <row r="3" spans="1:27">
      <c r="A3" s="5">
        <v>2004</v>
      </c>
      <c r="B3" t="s">
        <v>407</v>
      </c>
      <c r="C3" s="13">
        <v>200</v>
      </c>
      <c r="D3" s="1"/>
      <c r="E3" s="1"/>
      <c r="P3" s="1"/>
      <c r="Q3" s="3"/>
      <c r="R3" s="4"/>
      <c r="S3" s="4"/>
      <c r="W3" s="1"/>
      <c r="AA3" s="13"/>
    </row>
    <row r="4" spans="1:27">
      <c r="A4" s="5">
        <v>2002</v>
      </c>
      <c r="B4" t="s">
        <v>407</v>
      </c>
      <c r="C4" s="13">
        <v>300</v>
      </c>
      <c r="D4" s="1"/>
      <c r="E4" s="1"/>
      <c r="P4" s="1"/>
      <c r="Q4" s="3"/>
      <c r="R4" s="4"/>
      <c r="S4" s="4"/>
      <c r="W4" s="1"/>
      <c r="AA4" s="13"/>
    </row>
    <row r="5" spans="1:27">
      <c r="A5">
        <v>2008</v>
      </c>
      <c r="B5" t="s">
        <v>407</v>
      </c>
      <c r="C5" s="13">
        <v>400</v>
      </c>
      <c r="D5" s="1"/>
      <c r="E5" s="1"/>
      <c r="P5" s="1"/>
      <c r="Q5" s="3"/>
      <c r="R5" s="4"/>
      <c r="S5" s="4"/>
      <c r="W5" s="1"/>
      <c r="AA5" s="13"/>
    </row>
    <row r="6" spans="1:27">
      <c r="A6">
        <v>2005</v>
      </c>
      <c r="B6" t="s">
        <v>407</v>
      </c>
      <c r="C6" s="13">
        <v>500</v>
      </c>
      <c r="D6" s="1"/>
      <c r="E6" s="1"/>
      <c r="P6" s="1"/>
      <c r="Q6" s="3"/>
      <c r="R6" s="4"/>
      <c r="S6" s="4"/>
      <c r="W6" s="1"/>
      <c r="AA6" s="14"/>
    </row>
    <row r="7" spans="1:27">
      <c r="A7">
        <v>2010</v>
      </c>
      <c r="B7" t="s">
        <v>407</v>
      </c>
      <c r="C7" s="13">
        <v>500</v>
      </c>
      <c r="D7" s="1"/>
      <c r="E7" s="1"/>
      <c r="P7" s="1"/>
      <c r="Q7" s="3"/>
      <c r="R7" s="4"/>
      <c r="S7" s="4"/>
      <c r="W7" s="1"/>
      <c r="AA7" s="13"/>
    </row>
    <row r="8" spans="1:27">
      <c r="A8">
        <v>2007</v>
      </c>
      <c r="B8" t="s">
        <v>635</v>
      </c>
      <c r="C8" s="13">
        <v>500</v>
      </c>
      <c r="D8" s="1"/>
      <c r="E8" s="1"/>
      <c r="P8" s="1"/>
      <c r="Q8" s="3"/>
      <c r="R8" s="4"/>
      <c r="S8" s="4"/>
      <c r="W8" s="1"/>
      <c r="AA8" s="14"/>
    </row>
    <row r="9" spans="1:27">
      <c r="A9">
        <v>2006</v>
      </c>
      <c r="B9" t="s">
        <v>635</v>
      </c>
      <c r="C9" s="13">
        <v>500</v>
      </c>
      <c r="D9" s="1"/>
      <c r="E9" s="1"/>
      <c r="P9" s="1"/>
      <c r="Q9" s="3"/>
      <c r="R9" s="4"/>
      <c r="S9" s="4"/>
      <c r="W9" s="1"/>
      <c r="AA9" s="14"/>
    </row>
    <row r="10" spans="1:27">
      <c r="A10">
        <v>2003</v>
      </c>
      <c r="B10" t="s">
        <v>635</v>
      </c>
      <c r="C10" s="13">
        <v>500</v>
      </c>
      <c r="D10" s="1"/>
      <c r="E10" s="1"/>
      <c r="P10" s="1"/>
      <c r="Q10" s="3"/>
      <c r="R10" s="4"/>
      <c r="S10" s="4"/>
      <c r="W10" s="1"/>
      <c r="AA10" s="14"/>
    </row>
    <row r="11" spans="1:27">
      <c r="A11">
        <v>2011</v>
      </c>
      <c r="B11" t="s">
        <v>635</v>
      </c>
      <c r="C11" s="13">
        <v>500</v>
      </c>
      <c r="D11" s="1"/>
      <c r="E11" s="1"/>
      <c r="P11" s="1"/>
      <c r="Q11" s="3"/>
      <c r="R11" s="4"/>
      <c r="S11" s="4"/>
      <c r="W11" s="1"/>
      <c r="AA11" s="14"/>
    </row>
    <row r="12" spans="1:27">
      <c r="A12">
        <v>2012</v>
      </c>
      <c r="B12" t="s">
        <v>635</v>
      </c>
      <c r="C12" s="13">
        <v>500</v>
      </c>
      <c r="D12" s="1"/>
      <c r="E12" s="1"/>
      <c r="P12" s="1"/>
      <c r="Q12" s="3"/>
      <c r="R12" s="4"/>
      <c r="S12" s="4"/>
      <c r="W12" s="1"/>
      <c r="AA12" s="14"/>
    </row>
    <row r="13" spans="1:27">
      <c r="A13">
        <v>2013</v>
      </c>
      <c r="B13" t="s">
        <v>635</v>
      </c>
      <c r="C13" s="13">
        <v>600</v>
      </c>
      <c r="D13" s="1"/>
      <c r="E13" s="1"/>
      <c r="P13" s="1"/>
      <c r="Q13" s="3"/>
      <c r="R13" s="4"/>
      <c r="S13" s="4"/>
      <c r="W13" s="1"/>
      <c r="AA13" s="14"/>
    </row>
    <row r="14" spans="1:27">
      <c r="A14">
        <v>94</v>
      </c>
      <c r="B14" t="s">
        <v>635</v>
      </c>
      <c r="C14" s="13">
        <v>600</v>
      </c>
      <c r="D14" s="1"/>
      <c r="E14" s="1"/>
      <c r="P14" s="1"/>
      <c r="Q14" s="3"/>
      <c r="R14" s="4"/>
      <c r="S14" s="4"/>
      <c r="W14" s="1"/>
      <c r="AA14" s="14"/>
    </row>
    <row r="15" spans="1:27">
      <c r="A15">
        <v>73</v>
      </c>
      <c r="B15" t="s">
        <v>635</v>
      </c>
      <c r="C15" s="13">
        <v>600</v>
      </c>
      <c r="D15" s="1"/>
      <c r="E15" s="1"/>
      <c r="P15" s="1"/>
      <c r="Q15" s="3"/>
      <c r="R15" s="4"/>
      <c r="S15" s="4"/>
      <c r="W15" s="1"/>
      <c r="AA15" s="14"/>
    </row>
    <row r="16" spans="1:27">
      <c r="A16">
        <v>88</v>
      </c>
      <c r="B16" t="s">
        <v>635</v>
      </c>
      <c r="C16" s="13">
        <v>600</v>
      </c>
      <c r="D16" s="1"/>
      <c r="E16" s="1"/>
      <c r="P16" s="1"/>
      <c r="Q16" s="3"/>
      <c r="R16" s="4"/>
      <c r="S16" s="4"/>
      <c r="W16" s="1"/>
      <c r="AA16" s="13"/>
    </row>
    <row r="17" spans="1:27">
      <c r="A17">
        <v>91</v>
      </c>
      <c r="B17" t="s">
        <v>635</v>
      </c>
      <c r="C17" s="13">
        <v>600</v>
      </c>
      <c r="D17" s="1"/>
      <c r="E17" s="1"/>
      <c r="P17" s="1"/>
      <c r="Q17" s="3"/>
      <c r="R17" s="4"/>
      <c r="S17" s="4"/>
      <c r="W17" s="1"/>
      <c r="AA17" s="13"/>
    </row>
    <row r="18" spans="1:27">
      <c r="A18">
        <v>92</v>
      </c>
      <c r="B18" t="s">
        <v>635</v>
      </c>
      <c r="C18" s="13">
        <v>600</v>
      </c>
      <c r="D18" s="1"/>
      <c r="E18" s="1"/>
      <c r="P18" s="1"/>
      <c r="Q18" s="3"/>
      <c r="R18" s="4"/>
      <c r="S18" s="4"/>
      <c r="W18" s="1"/>
      <c r="AA18" s="13"/>
    </row>
    <row r="19" spans="1:27">
      <c r="A19">
        <v>111</v>
      </c>
      <c r="B19" t="s">
        <v>635</v>
      </c>
      <c r="C19" s="13">
        <v>700</v>
      </c>
      <c r="D19" s="1"/>
      <c r="E19" s="1"/>
      <c r="P19" s="1"/>
      <c r="Q19" s="3"/>
      <c r="R19" s="4"/>
      <c r="S19" s="4"/>
      <c r="W19" s="1"/>
      <c r="AA19" s="13"/>
    </row>
    <row r="20" spans="1:27">
      <c r="A20">
        <v>110</v>
      </c>
      <c r="B20" t="s">
        <v>635</v>
      </c>
      <c r="C20" s="13">
        <v>700</v>
      </c>
      <c r="D20" s="1"/>
      <c r="E20" s="1"/>
      <c r="P20" s="1"/>
      <c r="Q20" s="3"/>
      <c r="R20" s="4"/>
      <c r="S20" s="4"/>
      <c r="W20" s="1"/>
      <c r="AA20" s="13"/>
    </row>
    <row r="21" spans="1:27">
      <c r="A21">
        <v>95</v>
      </c>
      <c r="B21" t="s">
        <v>635</v>
      </c>
      <c r="C21" s="13">
        <v>700</v>
      </c>
      <c r="D21" s="1"/>
      <c r="E21" s="1"/>
      <c r="P21" s="1"/>
      <c r="Q21" s="3"/>
      <c r="R21" s="4"/>
      <c r="S21" s="4"/>
      <c r="W21" s="1"/>
      <c r="AA21" s="14"/>
    </row>
    <row r="22" spans="1:27">
      <c r="A22">
        <v>80</v>
      </c>
      <c r="B22" t="s">
        <v>635</v>
      </c>
      <c r="C22" s="13">
        <v>700</v>
      </c>
      <c r="D22" s="1"/>
      <c r="E22" s="1"/>
      <c r="P22" s="1"/>
      <c r="Q22" s="3"/>
      <c r="R22" s="4"/>
      <c r="S22" s="4"/>
      <c r="W22" s="1"/>
      <c r="AA22" s="14"/>
    </row>
    <row r="23" spans="1:27">
      <c r="A23">
        <v>115</v>
      </c>
      <c r="B23" t="s">
        <v>635</v>
      </c>
      <c r="C23" s="13">
        <v>700</v>
      </c>
      <c r="D23" s="1"/>
      <c r="E23" s="1"/>
      <c r="P23" s="1"/>
      <c r="Q23" s="3"/>
      <c r="R23" s="4"/>
      <c r="S23" s="4"/>
      <c r="W23" s="1"/>
      <c r="AA23" s="14"/>
    </row>
    <row r="24" spans="1:27">
      <c r="A24">
        <v>93</v>
      </c>
      <c r="B24" t="s">
        <v>407</v>
      </c>
      <c r="C24" s="13">
        <v>700</v>
      </c>
      <c r="D24" s="1"/>
      <c r="E24" s="1"/>
      <c r="P24" s="1"/>
      <c r="Q24" s="3"/>
      <c r="R24" s="4"/>
      <c r="S24" s="4"/>
      <c r="W24" s="1"/>
      <c r="AA24" s="14"/>
    </row>
    <row r="25" spans="1:27">
      <c r="A25">
        <v>101</v>
      </c>
      <c r="B25" t="s">
        <v>407</v>
      </c>
      <c r="C25" s="13">
        <v>100000</v>
      </c>
      <c r="D25" s="1"/>
      <c r="E25" s="1"/>
      <c r="P25" s="1"/>
      <c r="Q25" s="3"/>
      <c r="R25" s="4"/>
      <c r="S25" s="4"/>
      <c r="W25" s="1"/>
      <c r="AA25" s="14"/>
    </row>
    <row r="26" spans="1:27">
      <c r="A26">
        <v>100</v>
      </c>
      <c r="B26" t="s">
        <v>407</v>
      </c>
      <c r="C26" s="13">
        <v>100000</v>
      </c>
      <c r="D26" s="1"/>
      <c r="E26" s="1"/>
      <c r="P26" s="1"/>
      <c r="Q26" s="3"/>
      <c r="R26" s="4"/>
      <c r="S26" s="4"/>
      <c r="W26" s="1"/>
      <c r="AA26" s="14"/>
    </row>
    <row r="27" spans="1:27">
      <c r="A27">
        <v>104</v>
      </c>
      <c r="B27" t="s">
        <v>407</v>
      </c>
      <c r="C27" s="13">
        <v>100000</v>
      </c>
      <c r="D27" s="1"/>
      <c r="E27" s="1"/>
      <c r="P27" s="1"/>
      <c r="Q27" s="3"/>
      <c r="R27" s="4"/>
      <c r="S27" s="4"/>
      <c r="W27" s="1"/>
      <c r="AA27" s="14"/>
    </row>
    <row r="28" spans="1:27">
      <c r="A28">
        <v>86</v>
      </c>
      <c r="B28" t="s">
        <v>407</v>
      </c>
      <c r="C28" s="13">
        <v>100000</v>
      </c>
      <c r="D28" s="1"/>
      <c r="E28" s="1"/>
      <c r="P28" s="1"/>
      <c r="Q28" s="3"/>
      <c r="R28" s="4"/>
      <c r="S28" s="4"/>
      <c r="W28" s="1"/>
      <c r="AA28" s="14"/>
    </row>
    <row r="29" spans="1:27">
      <c r="A29">
        <v>89</v>
      </c>
      <c r="B29" t="s">
        <v>407</v>
      </c>
      <c r="C29" s="13">
        <v>100000</v>
      </c>
      <c r="D29" s="1"/>
      <c r="E29" s="1"/>
      <c r="P29" s="1"/>
      <c r="Q29" s="3"/>
      <c r="R29" s="4"/>
      <c r="S29" s="4"/>
      <c r="W29" s="1"/>
      <c r="AA29" s="13"/>
    </row>
    <row r="30" spans="1:27">
      <c r="A30">
        <v>72</v>
      </c>
      <c r="B30" t="s">
        <v>407</v>
      </c>
      <c r="C30" s="13">
        <v>100000</v>
      </c>
      <c r="D30" s="1"/>
      <c r="E30" s="1"/>
      <c r="P30" s="1"/>
      <c r="Q30" s="3"/>
      <c r="R30" s="4"/>
      <c r="S30" s="4"/>
      <c r="W30" s="1"/>
      <c r="AA30" s="13"/>
    </row>
    <row r="31" spans="1:27">
      <c r="A31">
        <v>162</v>
      </c>
      <c r="B31" t="s">
        <v>407</v>
      </c>
      <c r="C31" s="13">
        <v>100000</v>
      </c>
      <c r="D31" s="1"/>
      <c r="E31" s="1"/>
      <c r="P31" s="1"/>
      <c r="Q31" s="3"/>
      <c r="R31" s="4"/>
      <c r="S31" s="4"/>
      <c r="W31" s="1"/>
      <c r="AA31" s="13"/>
    </row>
    <row r="32" spans="1:27">
      <c r="A32">
        <v>1121</v>
      </c>
      <c r="B32" t="s">
        <v>407</v>
      </c>
      <c r="C32" s="13">
        <v>100000</v>
      </c>
      <c r="D32" s="1"/>
      <c r="E32" s="1"/>
      <c r="P32" s="1"/>
      <c r="Q32" s="3"/>
      <c r="R32" s="4"/>
      <c r="S32" s="4"/>
      <c r="W32" s="1"/>
      <c r="AA32" s="13"/>
    </row>
    <row r="33" spans="1:27">
      <c r="A33">
        <v>1117</v>
      </c>
      <c r="B33" t="s">
        <v>407</v>
      </c>
      <c r="C33" s="13">
        <v>100000</v>
      </c>
      <c r="D33" s="1"/>
      <c r="E33" s="1"/>
      <c r="P33" s="1"/>
      <c r="Q33" s="3"/>
      <c r="R33" s="4"/>
      <c r="S33" s="4"/>
      <c r="W33" s="1"/>
      <c r="AA33" s="13"/>
    </row>
    <row r="34" spans="1:27">
      <c r="A34">
        <v>1115</v>
      </c>
      <c r="B34" t="s">
        <v>407</v>
      </c>
      <c r="C34" s="13">
        <v>100000</v>
      </c>
      <c r="D34" s="1"/>
      <c r="E34" s="1"/>
      <c r="P34" s="1"/>
      <c r="Q34" s="3"/>
      <c r="R34" s="4"/>
      <c r="S34" s="4"/>
      <c r="W34" s="1"/>
      <c r="AA34" s="14"/>
    </row>
    <row r="35" spans="1:27">
      <c r="A35">
        <v>1128</v>
      </c>
      <c r="B35" t="s">
        <v>407</v>
      </c>
      <c r="C35" s="13">
        <v>100000</v>
      </c>
      <c r="D35" s="1"/>
      <c r="E35" s="1"/>
      <c r="P35" s="1"/>
      <c r="Q35" s="3"/>
      <c r="R35" s="4"/>
      <c r="S35" s="4"/>
      <c r="W35" s="1"/>
      <c r="AA35" s="14"/>
    </row>
    <row r="36" spans="1:27">
      <c r="A36">
        <v>1123</v>
      </c>
      <c r="B36" t="s">
        <v>407</v>
      </c>
      <c r="C36" s="13">
        <v>100000</v>
      </c>
      <c r="D36" s="1"/>
      <c r="E36" s="1"/>
      <c r="P36" s="1"/>
      <c r="Q36" s="3"/>
      <c r="R36" s="4"/>
      <c r="S36" s="4"/>
      <c r="W36" s="1"/>
      <c r="AA36" s="14"/>
    </row>
    <row r="37" spans="1:27">
      <c r="A37">
        <v>70</v>
      </c>
      <c r="B37" t="s">
        <v>407</v>
      </c>
      <c r="C37" s="13">
        <v>100000</v>
      </c>
      <c r="D37" s="1"/>
      <c r="E37" s="1"/>
      <c r="P37" s="1"/>
      <c r="Q37" s="3"/>
      <c r="R37" s="4"/>
      <c r="S37" s="4"/>
      <c r="W37" s="1"/>
      <c r="AA37" s="14"/>
    </row>
    <row r="38" spans="1:27">
      <c r="A38">
        <v>1119</v>
      </c>
      <c r="B38" t="s">
        <v>407</v>
      </c>
      <c r="C38" s="13">
        <v>100000</v>
      </c>
      <c r="D38" s="1"/>
      <c r="E38" s="1"/>
      <c r="P38" s="1"/>
      <c r="Q38" s="3"/>
      <c r="R38" s="4"/>
      <c r="S38" s="4"/>
      <c r="W38" s="1"/>
      <c r="AA38" s="14"/>
    </row>
    <row r="39" spans="1:27">
      <c r="A39">
        <v>1118</v>
      </c>
      <c r="B39" t="s">
        <v>407</v>
      </c>
      <c r="C39" s="13">
        <v>100000</v>
      </c>
      <c r="D39" s="1"/>
      <c r="E39" s="1"/>
      <c r="P39" s="1"/>
      <c r="Q39" s="3"/>
      <c r="R39" s="4"/>
      <c r="S39" s="4"/>
      <c r="W39" s="1"/>
      <c r="AA39" s="14"/>
    </row>
    <row r="40" spans="1:27">
      <c r="A40">
        <v>59</v>
      </c>
      <c r="B40" t="s">
        <v>407</v>
      </c>
      <c r="C40" s="13">
        <v>100000</v>
      </c>
      <c r="D40" s="1"/>
      <c r="E40" s="1"/>
      <c r="P40" s="1"/>
      <c r="Q40" s="3"/>
      <c r="R40" s="4"/>
      <c r="S40" s="4"/>
      <c r="W40" s="1"/>
      <c r="AA40" s="14"/>
    </row>
    <row r="41" spans="1:27">
      <c r="A41">
        <v>1127</v>
      </c>
      <c r="B41" t="s">
        <v>407</v>
      </c>
      <c r="C41" s="13">
        <v>100000</v>
      </c>
      <c r="D41" s="1"/>
      <c r="E41" s="1"/>
      <c r="P41" s="1"/>
      <c r="Q41" s="3"/>
      <c r="R41" s="4"/>
      <c r="S41" s="4"/>
      <c r="W41" s="1"/>
      <c r="AA41" s="14"/>
    </row>
    <row r="42" spans="1:27">
      <c r="A42">
        <v>1132</v>
      </c>
      <c r="B42" t="s">
        <v>407</v>
      </c>
      <c r="C42" s="13">
        <v>100000</v>
      </c>
      <c r="D42" s="1"/>
      <c r="E42" s="1"/>
      <c r="P42" s="1"/>
      <c r="Q42" s="3"/>
      <c r="R42" s="4"/>
      <c r="S42" s="4"/>
      <c r="W42" s="1"/>
      <c r="AA42" s="13"/>
    </row>
    <row r="43" spans="1:27">
      <c r="A43">
        <v>1126</v>
      </c>
      <c r="B43" t="s">
        <v>407</v>
      </c>
      <c r="C43" s="13">
        <v>100000</v>
      </c>
      <c r="D43" s="1"/>
      <c r="E43" s="1"/>
      <c r="P43" s="1"/>
      <c r="Q43" s="3"/>
      <c r="R43" s="4"/>
      <c r="S43" s="4"/>
      <c r="W43" s="1"/>
      <c r="AA43" s="13"/>
    </row>
    <row r="44" spans="1:27">
      <c r="A44">
        <v>1125</v>
      </c>
      <c r="B44" t="s">
        <v>407</v>
      </c>
      <c r="C44" s="13">
        <v>100000</v>
      </c>
      <c r="D44" s="1"/>
      <c r="E44" s="1"/>
      <c r="P44" s="1"/>
      <c r="Q44" s="3"/>
      <c r="R44" s="4"/>
      <c r="S44" s="4"/>
      <c r="W44" s="1"/>
      <c r="AA44" s="13"/>
    </row>
    <row r="45" spans="1:27">
      <c r="A45">
        <v>167</v>
      </c>
      <c r="B45" t="s">
        <v>407</v>
      </c>
      <c r="C45" s="13">
        <v>100000</v>
      </c>
      <c r="D45" s="1"/>
      <c r="E45" s="1"/>
      <c r="P45" s="1"/>
      <c r="Q45" s="3"/>
      <c r="R45" s="4"/>
      <c r="S45" s="4"/>
      <c r="W45" s="1"/>
      <c r="AA45" s="13"/>
    </row>
    <row r="46" spans="1:27">
      <c r="A46" s="5">
        <v>168</v>
      </c>
      <c r="B46" t="s">
        <v>407</v>
      </c>
      <c r="C46" s="13">
        <v>100000</v>
      </c>
      <c r="D46" s="1"/>
      <c r="E46" s="1"/>
      <c r="P46" s="1"/>
      <c r="Q46" s="3"/>
      <c r="R46" s="4"/>
      <c r="S46" s="4"/>
      <c r="W46" s="1"/>
      <c r="AA46" s="13"/>
    </row>
    <row r="47" spans="1:27">
      <c r="A47">
        <v>1113</v>
      </c>
      <c r="B47" t="s">
        <v>407</v>
      </c>
      <c r="C47" s="13">
        <v>100000</v>
      </c>
      <c r="D47" s="1"/>
      <c r="E47" s="1"/>
      <c r="P47" s="1"/>
      <c r="Q47" s="3"/>
      <c r="R47" s="4"/>
      <c r="S47" s="4"/>
      <c r="W47" s="1"/>
      <c r="AA47" s="14"/>
    </row>
    <row r="48" spans="1:27">
      <c r="A48">
        <v>1028</v>
      </c>
      <c r="B48" t="s">
        <v>407</v>
      </c>
      <c r="C48" s="13">
        <v>100000</v>
      </c>
      <c r="D48" s="1"/>
      <c r="E48" s="1"/>
      <c r="P48" s="1"/>
      <c r="Q48" s="3"/>
      <c r="R48" s="4"/>
      <c r="S48" s="4"/>
      <c r="W48" s="1"/>
      <c r="AA48" s="14"/>
    </row>
    <row r="49" spans="1:27">
      <c r="A49">
        <v>1010</v>
      </c>
      <c r="B49" t="s">
        <v>407</v>
      </c>
      <c r="C49" s="13">
        <v>100000</v>
      </c>
      <c r="D49" s="1"/>
      <c r="E49" s="1"/>
      <c r="P49" s="1"/>
      <c r="Q49" s="3"/>
      <c r="R49" s="4"/>
      <c r="S49" s="4"/>
      <c r="W49" s="1"/>
      <c r="AA49" s="14"/>
    </row>
    <row r="50" spans="1:27">
      <c r="A50">
        <v>175</v>
      </c>
      <c r="B50" t="s">
        <v>407</v>
      </c>
      <c r="C50" s="13">
        <v>100000</v>
      </c>
      <c r="D50" s="1"/>
      <c r="E50" s="1"/>
      <c r="P50" s="1"/>
      <c r="Q50" s="3"/>
      <c r="R50" s="4"/>
      <c r="S50" s="4"/>
      <c r="W50" s="1"/>
      <c r="AA50" s="14"/>
    </row>
    <row r="51" spans="1:27">
      <c r="A51">
        <v>176</v>
      </c>
      <c r="B51" t="s">
        <v>407</v>
      </c>
      <c r="C51" s="13">
        <v>100000</v>
      </c>
      <c r="D51" s="1"/>
      <c r="E51" s="1"/>
      <c r="P51" s="1"/>
      <c r="Q51" s="3"/>
      <c r="R51" s="4"/>
      <c r="S51" s="4"/>
      <c r="W51" s="1"/>
      <c r="AA51" s="14"/>
    </row>
    <row r="52" spans="1:27">
      <c r="A52">
        <v>172</v>
      </c>
      <c r="B52" t="s">
        <v>407</v>
      </c>
      <c r="C52" s="13">
        <v>100000</v>
      </c>
      <c r="D52" s="1"/>
      <c r="E52" s="1"/>
      <c r="P52" s="1"/>
      <c r="Q52" s="3"/>
      <c r="R52" s="4"/>
      <c r="S52" s="4"/>
      <c r="W52" s="1"/>
      <c r="AA52" s="14"/>
    </row>
    <row r="53" spans="1:27">
      <c r="A53">
        <v>174</v>
      </c>
      <c r="B53" t="s">
        <v>407</v>
      </c>
      <c r="C53" s="13">
        <v>100000</v>
      </c>
      <c r="D53" s="1"/>
      <c r="E53" s="1"/>
      <c r="P53" s="1"/>
      <c r="Q53" s="3"/>
      <c r="R53" s="4"/>
      <c r="S53" s="4"/>
      <c r="W53" s="1"/>
      <c r="AA53" s="14"/>
    </row>
    <row r="54" spans="1:27">
      <c r="A54">
        <v>170</v>
      </c>
      <c r="B54" t="s">
        <v>407</v>
      </c>
      <c r="C54" s="13">
        <v>100000</v>
      </c>
      <c r="D54" s="1"/>
      <c r="E54" s="1"/>
      <c r="P54" s="1"/>
      <c r="Q54" s="3"/>
      <c r="R54" s="4"/>
      <c r="S54" s="4"/>
      <c r="W54" s="1"/>
      <c r="AA54" s="14"/>
    </row>
    <row r="55" spans="1:27">
      <c r="A55">
        <v>177</v>
      </c>
      <c r="B55" t="s">
        <v>407</v>
      </c>
      <c r="C55" s="13">
        <v>100000</v>
      </c>
      <c r="D55" s="1"/>
      <c r="E55" s="1"/>
      <c r="P55" s="1"/>
      <c r="Q55" s="3"/>
      <c r="R55" s="4"/>
      <c r="S55" s="4"/>
      <c r="W55" s="1"/>
      <c r="AA55" s="13"/>
    </row>
    <row r="56" spans="1:27">
      <c r="A56">
        <v>161</v>
      </c>
      <c r="B56" t="s">
        <v>407</v>
      </c>
      <c r="C56" s="13">
        <v>100000</v>
      </c>
      <c r="D56" s="1"/>
      <c r="E56" s="1"/>
      <c r="P56" s="1"/>
      <c r="Q56" s="3"/>
      <c r="R56" s="4"/>
      <c r="S56" s="4"/>
      <c r="W56" s="1"/>
      <c r="AA56" s="13"/>
    </row>
    <row r="57" spans="1:27">
      <c r="A57">
        <v>166</v>
      </c>
      <c r="B57" t="s">
        <v>407</v>
      </c>
      <c r="C57" s="13">
        <v>100000</v>
      </c>
      <c r="D57" s="1"/>
      <c r="E57" s="1"/>
      <c r="P57" s="1"/>
      <c r="Q57" s="3"/>
      <c r="R57" s="4"/>
      <c r="S57" s="4"/>
      <c r="W57" s="1"/>
      <c r="AA57" s="13"/>
    </row>
    <row r="58" spans="1:27">
      <c r="A58">
        <v>1012</v>
      </c>
      <c r="B58" t="s">
        <v>407</v>
      </c>
      <c r="C58" s="13">
        <v>100000</v>
      </c>
      <c r="D58" s="1"/>
      <c r="E58" s="1"/>
      <c r="P58" s="1"/>
      <c r="Q58" s="3"/>
      <c r="R58" s="4"/>
      <c r="S58" s="4"/>
      <c r="W58" s="1"/>
      <c r="AA58" s="13"/>
    </row>
    <row r="59" spans="1:27">
      <c r="A59">
        <v>1043</v>
      </c>
      <c r="B59" t="s">
        <v>407</v>
      </c>
      <c r="C59" s="13">
        <v>100000</v>
      </c>
      <c r="AA59" s="13"/>
    </row>
    <row r="60" spans="1:27">
      <c r="A60">
        <v>1114</v>
      </c>
      <c r="B60" t="s">
        <v>407</v>
      </c>
      <c r="C60" s="13">
        <v>100000</v>
      </c>
    </row>
    <row r="61" spans="1:27">
      <c r="A61">
        <v>2168</v>
      </c>
      <c r="B61" t="s">
        <v>407</v>
      </c>
      <c r="C61" s="13">
        <v>100000</v>
      </c>
    </row>
    <row r="62" spans="1:27">
      <c r="A62">
        <v>2167</v>
      </c>
      <c r="B62" t="s">
        <v>407</v>
      </c>
      <c r="C62" s="13">
        <v>100000</v>
      </c>
    </row>
    <row r="63" spans="1:27">
      <c r="A63">
        <v>2000</v>
      </c>
      <c r="B63" t="s">
        <v>407</v>
      </c>
      <c r="C63" s="13">
        <v>100000</v>
      </c>
    </row>
    <row r="64" spans="1:27">
      <c r="A64">
        <v>2001</v>
      </c>
      <c r="B64" t="s">
        <v>407</v>
      </c>
      <c r="C64" s="13">
        <v>100000</v>
      </c>
    </row>
    <row r="65" spans="1:3">
      <c r="A65" s="5">
        <v>2166</v>
      </c>
      <c r="B65" t="s">
        <v>407</v>
      </c>
      <c r="C65" s="13">
        <v>100000</v>
      </c>
    </row>
    <row r="66" spans="1:3">
      <c r="B66" t="s">
        <v>635</v>
      </c>
      <c r="C66" s="13">
        <v>100000</v>
      </c>
    </row>
  </sheetData>
  <phoneticPr fontId="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BC87-D6AC-4DDA-8E18-7DEF5DE97ED3}">
  <dimension ref="A1:C65"/>
  <sheetViews>
    <sheetView workbookViewId="0">
      <selection activeCell="C6" sqref="C6"/>
    </sheetView>
  </sheetViews>
  <sheetFormatPr defaultRowHeight="14.45"/>
  <cols>
    <col min="1" max="1" width="20.7109375" customWidth="1"/>
    <col min="2" max="2" width="27.85546875" customWidth="1"/>
    <col min="3" max="3" width="22.28515625" customWidth="1"/>
  </cols>
  <sheetData>
    <row r="1" spans="1:3">
      <c r="A1" t="s">
        <v>128</v>
      </c>
      <c r="B1" t="s">
        <v>130</v>
      </c>
      <c r="C1" t="s">
        <v>636</v>
      </c>
    </row>
    <row r="2" spans="1:3">
      <c r="A2">
        <v>2009</v>
      </c>
      <c r="B2" t="s">
        <v>637</v>
      </c>
      <c r="C2" s="4">
        <v>1</v>
      </c>
    </row>
    <row r="3" spans="1:3">
      <c r="A3" s="5">
        <v>2004</v>
      </c>
      <c r="B3" s="5" t="s">
        <v>638</v>
      </c>
      <c r="C3" s="4">
        <v>2</v>
      </c>
    </row>
    <row r="4" spans="1:3">
      <c r="A4" s="5">
        <v>2002</v>
      </c>
      <c r="B4" s="5" t="s">
        <v>185</v>
      </c>
      <c r="C4" s="4">
        <v>2</v>
      </c>
    </row>
    <row r="5" spans="1:3">
      <c r="A5">
        <v>2008</v>
      </c>
      <c r="B5" t="s">
        <v>191</v>
      </c>
      <c r="C5" s="4">
        <v>2</v>
      </c>
    </row>
    <row r="6" spans="1:3">
      <c r="A6">
        <v>2005</v>
      </c>
      <c r="B6" t="s">
        <v>411</v>
      </c>
      <c r="C6" s="4">
        <v>2</v>
      </c>
    </row>
    <row r="7" spans="1:3">
      <c r="A7">
        <v>2010</v>
      </c>
      <c r="B7" t="s">
        <v>203</v>
      </c>
      <c r="C7" s="4">
        <v>5</v>
      </c>
    </row>
    <row r="8" spans="1:3">
      <c r="A8">
        <v>2007</v>
      </c>
      <c r="B8" t="s">
        <v>210</v>
      </c>
      <c r="C8" s="4">
        <v>3</v>
      </c>
    </row>
    <row r="9" spans="1:3">
      <c r="A9">
        <v>2006</v>
      </c>
      <c r="B9" t="s">
        <v>217</v>
      </c>
      <c r="C9" s="4">
        <v>3</v>
      </c>
    </row>
    <row r="10" spans="1:3">
      <c r="A10">
        <v>2003</v>
      </c>
      <c r="B10" t="s">
        <v>222</v>
      </c>
      <c r="C10" s="4">
        <v>3</v>
      </c>
    </row>
    <row r="11" spans="1:3">
      <c r="A11">
        <v>2011</v>
      </c>
      <c r="B11" t="s">
        <v>229</v>
      </c>
      <c r="C11" s="4">
        <v>5</v>
      </c>
    </row>
    <row r="12" spans="1:3">
      <c r="A12">
        <v>2012</v>
      </c>
      <c r="B12" t="s">
        <v>235</v>
      </c>
      <c r="C12" s="4">
        <v>4</v>
      </c>
    </row>
    <row r="13" spans="1:3">
      <c r="A13">
        <v>2013</v>
      </c>
      <c r="B13" t="s">
        <v>240</v>
      </c>
      <c r="C13" s="4">
        <v>4</v>
      </c>
    </row>
    <row r="14" spans="1:3">
      <c r="A14">
        <v>94</v>
      </c>
      <c r="B14" t="s">
        <v>246</v>
      </c>
      <c r="C14" s="4">
        <v>5</v>
      </c>
    </row>
    <row r="15" spans="1:3">
      <c r="A15">
        <v>73</v>
      </c>
      <c r="B15" t="s">
        <v>253</v>
      </c>
      <c r="C15" s="4">
        <v>2</v>
      </c>
    </row>
    <row r="16" spans="1:3">
      <c r="A16">
        <v>88</v>
      </c>
      <c r="B16" t="s">
        <v>261</v>
      </c>
      <c r="C16" s="4">
        <v>3</v>
      </c>
    </row>
    <row r="17" spans="1:3">
      <c r="A17">
        <v>91</v>
      </c>
      <c r="B17" t="s">
        <v>265</v>
      </c>
      <c r="C17" s="4">
        <v>3</v>
      </c>
    </row>
    <row r="18" spans="1:3">
      <c r="A18">
        <v>92</v>
      </c>
      <c r="B18" t="s">
        <v>269</v>
      </c>
      <c r="C18" s="4">
        <v>3</v>
      </c>
    </row>
    <row r="19" spans="1:3">
      <c r="A19">
        <v>111</v>
      </c>
      <c r="B19" t="s">
        <v>273</v>
      </c>
      <c r="C19" s="4">
        <v>1</v>
      </c>
    </row>
    <row r="20" spans="1:3">
      <c r="A20">
        <v>110</v>
      </c>
      <c r="B20" t="s">
        <v>277</v>
      </c>
      <c r="C20" s="4">
        <v>3</v>
      </c>
    </row>
    <row r="21" spans="1:3">
      <c r="A21">
        <v>95</v>
      </c>
      <c r="B21" t="s">
        <v>281</v>
      </c>
      <c r="C21" s="4">
        <v>3</v>
      </c>
    </row>
    <row r="22" spans="1:3">
      <c r="A22">
        <v>80</v>
      </c>
      <c r="B22" t="s">
        <v>174</v>
      </c>
      <c r="C22" s="4">
        <v>1</v>
      </c>
    </row>
    <row r="23" spans="1:3">
      <c r="A23">
        <v>115</v>
      </c>
      <c r="B23" t="s">
        <v>290</v>
      </c>
      <c r="C23" s="4">
        <v>3</v>
      </c>
    </row>
    <row r="24" spans="1:3">
      <c r="A24">
        <v>93</v>
      </c>
      <c r="B24" t="s">
        <v>294</v>
      </c>
      <c r="C24" s="4">
        <v>4</v>
      </c>
    </row>
    <row r="25" spans="1:3">
      <c r="A25">
        <v>101</v>
      </c>
      <c r="B25" t="s">
        <v>298</v>
      </c>
      <c r="C25" s="4">
        <v>3</v>
      </c>
    </row>
    <row r="26" spans="1:3">
      <c r="A26">
        <v>100</v>
      </c>
      <c r="B26" t="s">
        <v>302</v>
      </c>
      <c r="C26" s="4">
        <v>4</v>
      </c>
    </row>
    <row r="27" spans="1:3">
      <c r="A27">
        <v>104</v>
      </c>
      <c r="B27" t="s">
        <v>306</v>
      </c>
      <c r="C27" s="4">
        <v>2</v>
      </c>
    </row>
    <row r="28" spans="1:3">
      <c r="A28">
        <v>86</v>
      </c>
      <c r="B28" t="s">
        <v>310</v>
      </c>
      <c r="C28" s="4">
        <v>3</v>
      </c>
    </row>
    <row r="29" spans="1:3">
      <c r="A29">
        <v>89</v>
      </c>
      <c r="B29" t="s">
        <v>315</v>
      </c>
      <c r="C29" s="4">
        <v>4</v>
      </c>
    </row>
    <row r="30" spans="1:3">
      <c r="A30">
        <v>72</v>
      </c>
      <c r="B30" t="s">
        <v>319</v>
      </c>
      <c r="C30" s="4">
        <v>3</v>
      </c>
    </row>
    <row r="31" spans="1:3">
      <c r="A31">
        <v>162</v>
      </c>
      <c r="B31" t="s">
        <v>324</v>
      </c>
      <c r="C31" s="4">
        <v>3</v>
      </c>
    </row>
    <row r="32" spans="1:3">
      <c r="A32">
        <v>1121</v>
      </c>
      <c r="B32" t="s">
        <v>327</v>
      </c>
      <c r="C32" s="4">
        <v>5</v>
      </c>
    </row>
    <row r="33" spans="1:3">
      <c r="A33">
        <v>1117</v>
      </c>
      <c r="B33" t="s">
        <v>329</v>
      </c>
      <c r="C33" s="4">
        <v>5</v>
      </c>
    </row>
    <row r="34" spans="1:3">
      <c r="A34">
        <v>1115</v>
      </c>
      <c r="B34" t="s">
        <v>331</v>
      </c>
      <c r="C34" s="4">
        <v>4</v>
      </c>
    </row>
    <row r="35" spans="1:3">
      <c r="A35">
        <v>1128</v>
      </c>
      <c r="B35" t="s">
        <v>332</v>
      </c>
      <c r="C35" s="4">
        <v>3</v>
      </c>
    </row>
    <row r="36" spans="1:3">
      <c r="A36">
        <v>1123</v>
      </c>
      <c r="B36" t="s">
        <v>334</v>
      </c>
      <c r="C36" s="4">
        <v>2</v>
      </c>
    </row>
    <row r="37" spans="1:3">
      <c r="A37">
        <v>70</v>
      </c>
      <c r="B37" t="s">
        <v>336</v>
      </c>
      <c r="C37" s="4">
        <v>3</v>
      </c>
    </row>
    <row r="38" spans="1:3">
      <c r="A38">
        <v>1119</v>
      </c>
      <c r="B38" t="s">
        <v>337</v>
      </c>
      <c r="C38" s="4">
        <v>3</v>
      </c>
    </row>
    <row r="39" spans="1:3">
      <c r="A39">
        <v>1118</v>
      </c>
      <c r="B39" t="s">
        <v>338</v>
      </c>
      <c r="C39" s="4">
        <v>3</v>
      </c>
    </row>
    <row r="40" spans="1:3">
      <c r="A40">
        <v>59</v>
      </c>
      <c r="B40" t="s">
        <v>340</v>
      </c>
      <c r="C40" s="4">
        <v>4</v>
      </c>
    </row>
    <row r="41" spans="1:3">
      <c r="A41">
        <v>1127</v>
      </c>
      <c r="B41" t="s">
        <v>341</v>
      </c>
      <c r="C41" s="4">
        <v>4</v>
      </c>
    </row>
    <row r="42" spans="1:3">
      <c r="A42">
        <v>1132</v>
      </c>
      <c r="B42" t="s">
        <v>342</v>
      </c>
      <c r="C42" s="4">
        <v>5</v>
      </c>
    </row>
    <row r="43" spans="1:3">
      <c r="A43">
        <v>1126</v>
      </c>
      <c r="B43" t="s">
        <v>344</v>
      </c>
      <c r="C43" s="4">
        <v>4</v>
      </c>
    </row>
    <row r="44" spans="1:3">
      <c r="A44">
        <v>1125</v>
      </c>
      <c r="B44" t="s">
        <v>345</v>
      </c>
      <c r="C44" s="4">
        <v>3</v>
      </c>
    </row>
    <row r="45" spans="1:3">
      <c r="A45">
        <v>167</v>
      </c>
      <c r="B45" t="s">
        <v>346</v>
      </c>
      <c r="C45" s="4">
        <v>4</v>
      </c>
    </row>
    <row r="46" spans="1:3">
      <c r="A46" s="5">
        <v>168</v>
      </c>
      <c r="B46" s="5" t="s">
        <v>348</v>
      </c>
      <c r="C46" s="4">
        <v>3</v>
      </c>
    </row>
    <row r="47" spans="1:3">
      <c r="A47">
        <v>1113</v>
      </c>
      <c r="B47" t="s">
        <v>350</v>
      </c>
      <c r="C47" s="4">
        <v>3</v>
      </c>
    </row>
    <row r="48" spans="1:3">
      <c r="A48">
        <v>1028</v>
      </c>
      <c r="B48" t="s">
        <v>351</v>
      </c>
      <c r="C48" s="4">
        <v>3</v>
      </c>
    </row>
    <row r="49" spans="1:3">
      <c r="A49">
        <v>1010</v>
      </c>
      <c r="B49" t="s">
        <v>354</v>
      </c>
      <c r="C49" s="4">
        <v>4</v>
      </c>
    </row>
    <row r="50" spans="1:3">
      <c r="A50">
        <v>175</v>
      </c>
      <c r="B50" t="s">
        <v>355</v>
      </c>
      <c r="C50" s="4">
        <v>4</v>
      </c>
    </row>
    <row r="51" spans="1:3">
      <c r="A51">
        <v>176</v>
      </c>
      <c r="B51" t="s">
        <v>358</v>
      </c>
      <c r="C51" s="4">
        <v>4</v>
      </c>
    </row>
    <row r="52" spans="1:3">
      <c r="A52">
        <v>172</v>
      </c>
      <c r="B52" t="s">
        <v>359</v>
      </c>
      <c r="C52" s="4">
        <v>4</v>
      </c>
    </row>
    <row r="53" spans="1:3">
      <c r="A53">
        <v>174</v>
      </c>
      <c r="B53" t="s">
        <v>360</v>
      </c>
      <c r="C53" s="4">
        <v>4</v>
      </c>
    </row>
    <row r="54" spans="1:3">
      <c r="A54">
        <v>170</v>
      </c>
      <c r="B54" t="s">
        <v>362</v>
      </c>
      <c r="C54" s="4">
        <v>4</v>
      </c>
    </row>
    <row r="55" spans="1:3">
      <c r="A55">
        <v>177</v>
      </c>
      <c r="B55" t="s">
        <v>363</v>
      </c>
      <c r="C55" s="4">
        <v>4</v>
      </c>
    </row>
    <row r="56" spans="1:3">
      <c r="A56">
        <v>161</v>
      </c>
      <c r="B56" t="s">
        <v>364</v>
      </c>
      <c r="C56" s="4">
        <v>3</v>
      </c>
    </row>
    <row r="57" spans="1:3">
      <c r="A57">
        <v>166</v>
      </c>
      <c r="B57" t="s">
        <v>366</v>
      </c>
      <c r="C57" s="4">
        <v>3</v>
      </c>
    </row>
    <row r="58" spans="1:3">
      <c r="A58">
        <v>1012</v>
      </c>
      <c r="B58" t="s">
        <v>369</v>
      </c>
      <c r="C58" s="4">
        <v>6</v>
      </c>
    </row>
    <row r="59" spans="1:3">
      <c r="A59">
        <v>1043</v>
      </c>
      <c r="B59" t="s">
        <v>372</v>
      </c>
      <c r="C59" s="4">
        <v>6</v>
      </c>
    </row>
    <row r="60" spans="1:3">
      <c r="A60">
        <v>1114</v>
      </c>
      <c r="B60" t="s">
        <v>374</v>
      </c>
      <c r="C60" s="4">
        <v>6</v>
      </c>
    </row>
    <row r="61" spans="1:3">
      <c r="A61">
        <v>2168</v>
      </c>
      <c r="B61" t="s">
        <v>375</v>
      </c>
      <c r="C61" s="4">
        <v>6</v>
      </c>
    </row>
    <row r="62" spans="1:3">
      <c r="A62">
        <v>2167</v>
      </c>
      <c r="B62" t="s">
        <v>378</v>
      </c>
      <c r="C62" s="4">
        <v>3</v>
      </c>
    </row>
    <row r="63" spans="1:3">
      <c r="A63">
        <v>2000</v>
      </c>
      <c r="B63" t="s">
        <v>380</v>
      </c>
      <c r="C63" s="4">
        <v>5</v>
      </c>
    </row>
    <row r="64" spans="1:3">
      <c r="A64">
        <v>2001</v>
      </c>
      <c r="B64" t="s">
        <v>381</v>
      </c>
      <c r="C64" s="4">
        <v>4</v>
      </c>
    </row>
    <row r="65" spans="1:3">
      <c r="A65" s="5">
        <v>2166</v>
      </c>
      <c r="B65" s="5" t="s">
        <v>382</v>
      </c>
      <c r="C65" s="4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3807-9EC6-4727-A369-240924698807}">
  <dimension ref="A1:H300"/>
  <sheetViews>
    <sheetView workbookViewId="0">
      <selection sqref="A1:XFD1048576"/>
    </sheetView>
  </sheetViews>
  <sheetFormatPr defaultRowHeight="14.45"/>
  <cols>
    <col min="1" max="1" width="17" customWidth="1"/>
    <col min="2" max="3" width="26.28515625" customWidth="1"/>
    <col min="4" max="4" width="25.28515625" customWidth="1"/>
    <col min="5" max="5" width="21.7109375" bestFit="1" customWidth="1"/>
    <col min="6" max="6" width="27.7109375" customWidth="1"/>
    <col min="7" max="7" width="16.85546875" bestFit="1" customWidth="1"/>
    <col min="8" max="8" width="20.7109375" bestFit="1" customWidth="1"/>
  </cols>
  <sheetData>
    <row r="1" spans="1:8">
      <c r="A1" s="28" t="s">
        <v>129</v>
      </c>
      <c r="B1" s="28" t="s">
        <v>452</v>
      </c>
      <c r="C1" s="28" t="s">
        <v>453</v>
      </c>
      <c r="D1" s="28" t="s">
        <v>454</v>
      </c>
      <c r="E1" s="28" t="s">
        <v>456</v>
      </c>
      <c r="F1" s="28" t="s">
        <v>457</v>
      </c>
      <c r="G1" s="28" t="s">
        <v>458</v>
      </c>
      <c r="H1" t="s">
        <v>459</v>
      </c>
    </row>
    <row r="2" spans="1:8">
      <c r="A2" s="28" t="s">
        <v>639</v>
      </c>
      <c r="B2" s="28" t="s">
        <v>640</v>
      </c>
      <c r="C2" s="28" t="s">
        <v>641</v>
      </c>
      <c r="D2" s="28" t="s">
        <v>462</v>
      </c>
      <c r="E2" s="28" t="s">
        <v>642</v>
      </c>
      <c r="F2" s="28" t="s">
        <v>643</v>
      </c>
      <c r="G2" s="28" t="s">
        <v>465</v>
      </c>
      <c r="H2" t="s">
        <v>644</v>
      </c>
    </row>
    <row r="3" spans="1:8">
      <c r="A3" s="28">
        <v>10003</v>
      </c>
      <c r="B3" s="28" t="s">
        <v>645</v>
      </c>
      <c r="C3" s="28" t="s">
        <v>646</v>
      </c>
      <c r="D3" s="28" t="s">
        <v>462</v>
      </c>
      <c r="E3" s="28" t="s">
        <v>647</v>
      </c>
      <c r="F3" s="28" t="s">
        <v>648</v>
      </c>
      <c r="G3" s="28" t="s">
        <v>465</v>
      </c>
      <c r="H3" t="s">
        <v>644</v>
      </c>
    </row>
    <row r="4" spans="1:8">
      <c r="A4" s="28">
        <v>10007</v>
      </c>
      <c r="B4" s="28" t="s">
        <v>649</v>
      </c>
      <c r="C4" s="28" t="s">
        <v>650</v>
      </c>
      <c r="D4" s="28" t="s">
        <v>462</v>
      </c>
      <c r="E4" s="28" t="s">
        <v>651</v>
      </c>
      <c r="F4" s="28" t="s">
        <v>652</v>
      </c>
      <c r="G4" s="28" t="s">
        <v>465</v>
      </c>
      <c r="H4" t="s">
        <v>644</v>
      </c>
    </row>
    <row r="5" spans="1:8">
      <c r="A5" s="28">
        <v>10009</v>
      </c>
      <c r="B5" s="28" t="s">
        <v>653</v>
      </c>
      <c r="C5" s="28" t="s">
        <v>654</v>
      </c>
      <c r="D5" s="28" t="s">
        <v>462</v>
      </c>
      <c r="E5" s="28" t="s">
        <v>655</v>
      </c>
      <c r="F5" s="28" t="s">
        <v>656</v>
      </c>
      <c r="G5" s="28" t="s">
        <v>465</v>
      </c>
      <c r="H5" t="s">
        <v>644</v>
      </c>
    </row>
    <row r="6" spans="1:8">
      <c r="A6" s="28">
        <v>10011</v>
      </c>
      <c r="B6" s="28" t="s">
        <v>657</v>
      </c>
      <c r="C6" s="28" t="s">
        <v>658</v>
      </c>
      <c r="D6" s="28" t="s">
        <v>462</v>
      </c>
      <c r="E6" s="28" t="s">
        <v>659</v>
      </c>
      <c r="F6" s="28" t="s">
        <v>660</v>
      </c>
      <c r="G6" s="28" t="s">
        <v>465</v>
      </c>
      <c r="H6" t="s">
        <v>644</v>
      </c>
    </row>
    <row r="7" spans="1:8">
      <c r="A7" s="28">
        <v>10013</v>
      </c>
      <c r="B7" s="28" t="s">
        <v>661</v>
      </c>
      <c r="C7" s="28" t="s">
        <v>662</v>
      </c>
      <c r="D7" s="28" t="s">
        <v>462</v>
      </c>
      <c r="E7" s="28" t="s">
        <v>663</v>
      </c>
      <c r="F7" s="28" t="s">
        <v>664</v>
      </c>
      <c r="G7" s="28" t="s">
        <v>465</v>
      </c>
      <c r="H7" t="s">
        <v>644</v>
      </c>
    </row>
    <row r="8" spans="1:8">
      <c r="A8" s="28">
        <v>10015</v>
      </c>
      <c r="B8" s="28" t="s">
        <v>665</v>
      </c>
      <c r="C8" s="28" t="s">
        <v>666</v>
      </c>
      <c r="D8" s="28" t="s">
        <v>462</v>
      </c>
      <c r="E8" s="28" t="s">
        <v>667</v>
      </c>
      <c r="F8" s="28" t="s">
        <v>668</v>
      </c>
      <c r="G8" s="28" t="s">
        <v>465</v>
      </c>
      <c r="H8" t="s">
        <v>644</v>
      </c>
    </row>
    <row r="9" spans="1:8">
      <c r="A9" s="28">
        <v>10019</v>
      </c>
      <c r="B9" s="28" t="s">
        <v>669</v>
      </c>
      <c r="C9" s="28" t="s">
        <v>670</v>
      </c>
      <c r="D9" s="28" t="s">
        <v>462</v>
      </c>
      <c r="E9" s="28" t="s">
        <v>671</v>
      </c>
      <c r="F9" s="28" t="s">
        <v>672</v>
      </c>
      <c r="G9" s="28" t="s">
        <v>465</v>
      </c>
      <c r="H9" t="s">
        <v>644</v>
      </c>
    </row>
    <row r="10" spans="1:8">
      <c r="A10" s="28">
        <v>10020</v>
      </c>
      <c r="B10" s="28" t="s">
        <v>673</v>
      </c>
      <c r="C10" s="28" t="s">
        <v>674</v>
      </c>
      <c r="D10" s="28" t="s">
        <v>462</v>
      </c>
      <c r="E10" s="28" t="s">
        <v>675</v>
      </c>
      <c r="F10" s="28" t="s">
        <v>676</v>
      </c>
      <c r="G10" s="28" t="s">
        <v>465</v>
      </c>
      <c r="H10" t="s">
        <v>644</v>
      </c>
    </row>
    <row r="11" spans="1:8">
      <c r="A11" s="28">
        <v>10030</v>
      </c>
      <c r="B11" s="28" t="s">
        <v>677</v>
      </c>
      <c r="C11" s="28" t="s">
        <v>678</v>
      </c>
      <c r="D11" s="28" t="s">
        <v>462</v>
      </c>
      <c r="E11" s="28" t="s">
        <v>679</v>
      </c>
      <c r="F11" s="28" t="s">
        <v>680</v>
      </c>
      <c r="G11" s="28" t="s">
        <v>465</v>
      </c>
      <c r="H11" t="s">
        <v>644</v>
      </c>
    </row>
    <row r="12" spans="1:8">
      <c r="A12" s="28">
        <v>10031</v>
      </c>
      <c r="B12" s="28" t="s">
        <v>681</v>
      </c>
      <c r="C12" s="28" t="s">
        <v>658</v>
      </c>
      <c r="D12" s="28" t="s">
        <v>462</v>
      </c>
      <c r="E12" s="28" t="s">
        <v>682</v>
      </c>
      <c r="F12" s="28" t="s">
        <v>683</v>
      </c>
      <c r="G12" s="28" t="s">
        <v>465</v>
      </c>
    </row>
    <row r="13" spans="1:8">
      <c r="A13" s="28">
        <v>10032</v>
      </c>
      <c r="B13" s="28" t="s">
        <v>684</v>
      </c>
      <c r="C13" s="28" t="s">
        <v>685</v>
      </c>
      <c r="D13" s="28" t="s">
        <v>462</v>
      </c>
      <c r="E13" s="28" t="s">
        <v>686</v>
      </c>
      <c r="F13" s="28" t="s">
        <v>687</v>
      </c>
      <c r="G13" s="28" t="s">
        <v>465</v>
      </c>
    </row>
    <row r="14" spans="1:8">
      <c r="A14" s="28">
        <v>10038</v>
      </c>
      <c r="B14" s="28" t="s">
        <v>688</v>
      </c>
      <c r="C14" s="28" t="s">
        <v>689</v>
      </c>
      <c r="D14" s="28" t="s">
        <v>462</v>
      </c>
      <c r="E14" s="28" t="s">
        <v>690</v>
      </c>
      <c r="F14" s="28" t="s">
        <v>691</v>
      </c>
      <c r="G14" s="28" t="s">
        <v>465</v>
      </c>
    </row>
    <row r="15" spans="1:8">
      <c r="A15" s="28">
        <v>10039</v>
      </c>
      <c r="B15" s="28" t="s">
        <v>692</v>
      </c>
      <c r="C15" s="28" t="s">
        <v>693</v>
      </c>
      <c r="D15" s="28" t="s">
        <v>462</v>
      </c>
      <c r="E15" s="28" t="s">
        <v>694</v>
      </c>
      <c r="F15" s="28" t="s">
        <v>695</v>
      </c>
      <c r="G15" s="28" t="s">
        <v>465</v>
      </c>
    </row>
    <row r="16" spans="1:8">
      <c r="A16" s="28">
        <v>10043</v>
      </c>
      <c r="B16" s="28" t="s">
        <v>696</v>
      </c>
      <c r="C16" s="28" t="s">
        <v>697</v>
      </c>
      <c r="D16" s="28" t="s">
        <v>462</v>
      </c>
      <c r="E16" s="28" t="s">
        <v>698</v>
      </c>
      <c r="F16" s="28" t="s">
        <v>699</v>
      </c>
      <c r="G16" s="28" t="s">
        <v>465</v>
      </c>
    </row>
    <row r="17" spans="1:7">
      <c r="A17" s="28">
        <v>10045</v>
      </c>
      <c r="B17" s="28" t="s">
        <v>700</v>
      </c>
      <c r="C17" s="28" t="s">
        <v>701</v>
      </c>
      <c r="D17" s="28" t="s">
        <v>462</v>
      </c>
      <c r="E17" s="28" t="s">
        <v>702</v>
      </c>
      <c r="F17" s="28" t="s">
        <v>703</v>
      </c>
      <c r="G17" s="28" t="s">
        <v>465</v>
      </c>
    </row>
    <row r="18" spans="1:7">
      <c r="A18" s="28">
        <v>10046</v>
      </c>
      <c r="B18" s="28" t="s">
        <v>704</v>
      </c>
      <c r="C18" s="28" t="s">
        <v>705</v>
      </c>
      <c r="D18" s="28" t="s">
        <v>462</v>
      </c>
      <c r="E18" s="28" t="s">
        <v>706</v>
      </c>
      <c r="F18" s="28" t="s">
        <v>707</v>
      </c>
      <c r="G18" s="28" t="s">
        <v>465</v>
      </c>
    </row>
    <row r="19" spans="1:7">
      <c r="A19" s="28">
        <v>10048</v>
      </c>
      <c r="B19" s="28" t="s">
        <v>708</v>
      </c>
      <c r="C19" s="28" t="s">
        <v>709</v>
      </c>
      <c r="D19" s="28" t="s">
        <v>462</v>
      </c>
      <c r="E19" s="28" t="s">
        <v>710</v>
      </c>
      <c r="F19" s="28" t="s">
        <v>711</v>
      </c>
      <c r="G19" s="28" t="s">
        <v>465</v>
      </c>
    </row>
    <row r="20" spans="1:7">
      <c r="A20" s="28">
        <v>10049</v>
      </c>
      <c r="B20" s="28" t="s">
        <v>712</v>
      </c>
      <c r="C20" s="28" t="s">
        <v>713</v>
      </c>
      <c r="D20" s="28" t="s">
        <v>462</v>
      </c>
      <c r="E20" s="28" t="s">
        <v>714</v>
      </c>
      <c r="F20" s="28" t="s">
        <v>715</v>
      </c>
      <c r="G20" s="28" t="s">
        <v>465</v>
      </c>
    </row>
    <row r="21" spans="1:7">
      <c r="A21" s="28">
        <v>10052</v>
      </c>
      <c r="B21" s="28" t="s">
        <v>716</v>
      </c>
      <c r="C21" s="28" t="s">
        <v>717</v>
      </c>
      <c r="D21" s="28" t="s">
        <v>462</v>
      </c>
      <c r="E21" s="28" t="s">
        <v>718</v>
      </c>
      <c r="F21" s="28" t="s">
        <v>719</v>
      </c>
      <c r="G21" s="28" t="s">
        <v>465</v>
      </c>
    </row>
    <row r="22" spans="1:7">
      <c r="A22" s="28">
        <v>10054</v>
      </c>
      <c r="B22" s="28" t="s">
        <v>720</v>
      </c>
      <c r="C22" s="28" t="s">
        <v>721</v>
      </c>
      <c r="D22" s="28" t="s">
        <v>462</v>
      </c>
      <c r="E22" s="28" t="s">
        <v>722</v>
      </c>
      <c r="F22" s="28" t="s">
        <v>723</v>
      </c>
      <c r="G22" s="28" t="s">
        <v>465</v>
      </c>
    </row>
    <row r="23" spans="1:7">
      <c r="A23" s="28">
        <v>10055</v>
      </c>
      <c r="B23" s="28" t="s">
        <v>724</v>
      </c>
      <c r="C23" s="28" t="s">
        <v>725</v>
      </c>
      <c r="D23" s="28" t="s">
        <v>462</v>
      </c>
      <c r="E23" s="28" t="s">
        <v>726</v>
      </c>
      <c r="F23" s="28" t="s">
        <v>727</v>
      </c>
      <c r="G23" s="28" t="s">
        <v>465</v>
      </c>
    </row>
    <row r="24" spans="1:7">
      <c r="A24" s="28">
        <v>10064</v>
      </c>
      <c r="B24" s="28" t="s">
        <v>728</v>
      </c>
      <c r="C24" s="28" t="s">
        <v>729</v>
      </c>
      <c r="D24" s="28" t="s">
        <v>462</v>
      </c>
      <c r="E24" s="28" t="s">
        <v>730</v>
      </c>
      <c r="F24" s="28" t="s">
        <v>731</v>
      </c>
      <c r="G24" s="28" t="s">
        <v>465</v>
      </c>
    </row>
    <row r="25" spans="1:7">
      <c r="A25" s="28">
        <v>10078</v>
      </c>
      <c r="B25" s="28" t="s">
        <v>732</v>
      </c>
      <c r="C25" s="28" t="s">
        <v>733</v>
      </c>
      <c r="D25" s="28" t="s">
        <v>462</v>
      </c>
      <c r="E25" s="28" t="s">
        <v>734</v>
      </c>
      <c r="F25" s="28" t="s">
        <v>735</v>
      </c>
      <c r="G25" s="28" t="s">
        <v>465</v>
      </c>
    </row>
    <row r="26" spans="1:7">
      <c r="A26" s="28">
        <v>10082</v>
      </c>
      <c r="B26" s="28" t="s">
        <v>736</v>
      </c>
      <c r="C26" s="28" t="s">
        <v>737</v>
      </c>
      <c r="D26" s="28" t="s">
        <v>462</v>
      </c>
      <c r="E26" s="28" t="s">
        <v>738</v>
      </c>
      <c r="F26" s="28" t="s">
        <v>739</v>
      </c>
      <c r="G26" s="28" t="s">
        <v>465</v>
      </c>
    </row>
    <row r="27" spans="1:7">
      <c r="A27" s="28">
        <v>10084</v>
      </c>
      <c r="B27" s="28" t="s">
        <v>740</v>
      </c>
      <c r="C27" s="28" t="s">
        <v>741</v>
      </c>
      <c r="D27" s="28" t="s">
        <v>462</v>
      </c>
      <c r="E27" s="28" t="s">
        <v>742</v>
      </c>
      <c r="F27" s="28" t="s">
        <v>743</v>
      </c>
      <c r="G27" s="28" t="s">
        <v>465</v>
      </c>
    </row>
    <row r="28" spans="1:7">
      <c r="A28" s="28">
        <v>10085</v>
      </c>
      <c r="B28" s="28" t="s">
        <v>744</v>
      </c>
      <c r="C28" s="28" t="s">
        <v>745</v>
      </c>
      <c r="D28" s="28" t="s">
        <v>462</v>
      </c>
      <c r="E28" s="28" t="s">
        <v>746</v>
      </c>
      <c r="F28" s="28" t="s">
        <v>747</v>
      </c>
      <c r="G28" s="28" t="s">
        <v>465</v>
      </c>
    </row>
    <row r="29" spans="1:7">
      <c r="A29" s="28">
        <v>10087</v>
      </c>
      <c r="B29" s="28" t="s">
        <v>748</v>
      </c>
      <c r="C29" s="28" t="s">
        <v>749</v>
      </c>
      <c r="D29" s="28" t="s">
        <v>462</v>
      </c>
      <c r="E29" s="28" t="s">
        <v>750</v>
      </c>
      <c r="F29" s="28" t="s">
        <v>751</v>
      </c>
      <c r="G29" s="28" t="s">
        <v>465</v>
      </c>
    </row>
    <row r="30" spans="1:7">
      <c r="A30" s="28">
        <v>10088</v>
      </c>
      <c r="B30" s="28" t="s">
        <v>752</v>
      </c>
      <c r="C30" s="28" t="s">
        <v>753</v>
      </c>
      <c r="D30" s="28" t="s">
        <v>462</v>
      </c>
      <c r="E30" s="28" t="s">
        <v>754</v>
      </c>
      <c r="F30" s="28" t="s">
        <v>755</v>
      </c>
      <c r="G30" s="28" t="s">
        <v>465</v>
      </c>
    </row>
    <row r="31" spans="1:7">
      <c r="A31" s="28">
        <v>10093</v>
      </c>
      <c r="B31" s="28" t="s">
        <v>756</v>
      </c>
      <c r="C31" s="28" t="s">
        <v>757</v>
      </c>
      <c r="D31" s="28" t="s">
        <v>462</v>
      </c>
      <c r="E31" s="28" t="s">
        <v>758</v>
      </c>
      <c r="F31" s="28" t="s">
        <v>759</v>
      </c>
      <c r="G31" s="28" t="s">
        <v>465</v>
      </c>
    </row>
    <row r="32" spans="1:7">
      <c r="A32" s="28">
        <v>10094</v>
      </c>
      <c r="B32" s="28" t="s">
        <v>760</v>
      </c>
      <c r="C32" s="28" t="s">
        <v>761</v>
      </c>
      <c r="D32" s="28" t="s">
        <v>462</v>
      </c>
      <c r="E32" s="28" t="s">
        <v>762</v>
      </c>
      <c r="F32" s="28" t="s">
        <v>763</v>
      </c>
      <c r="G32" s="28" t="s">
        <v>465</v>
      </c>
    </row>
    <row r="33" spans="1:7">
      <c r="A33" s="28">
        <v>10095</v>
      </c>
      <c r="B33" s="28" t="s">
        <v>764</v>
      </c>
      <c r="C33" s="28" t="s">
        <v>765</v>
      </c>
      <c r="D33" s="28" t="s">
        <v>462</v>
      </c>
      <c r="E33" s="28" t="s">
        <v>766</v>
      </c>
      <c r="F33" s="28" t="s">
        <v>767</v>
      </c>
      <c r="G33" s="28" t="s">
        <v>465</v>
      </c>
    </row>
    <row r="34" spans="1:7">
      <c r="A34" s="28">
        <v>10097</v>
      </c>
      <c r="B34" s="28" t="s">
        <v>768</v>
      </c>
      <c r="C34" s="28" t="s">
        <v>769</v>
      </c>
      <c r="D34" s="28" t="s">
        <v>462</v>
      </c>
      <c r="E34" s="28" t="s">
        <v>770</v>
      </c>
      <c r="F34" s="28" t="s">
        <v>771</v>
      </c>
      <c r="G34" s="28" t="s">
        <v>465</v>
      </c>
    </row>
    <row r="35" spans="1:7">
      <c r="A35" s="28">
        <v>10100</v>
      </c>
      <c r="B35" s="28" t="s">
        <v>772</v>
      </c>
      <c r="C35" s="28" t="s">
        <v>773</v>
      </c>
      <c r="D35" s="28" t="s">
        <v>462</v>
      </c>
      <c r="E35" s="28" t="s">
        <v>774</v>
      </c>
      <c r="F35" s="28" t="s">
        <v>775</v>
      </c>
      <c r="G35" s="28" t="s">
        <v>465</v>
      </c>
    </row>
    <row r="36" spans="1:7">
      <c r="A36" s="28">
        <v>10104</v>
      </c>
      <c r="B36" s="28" t="s">
        <v>776</v>
      </c>
      <c r="C36" s="28" t="s">
        <v>777</v>
      </c>
      <c r="D36" s="28" t="s">
        <v>462</v>
      </c>
      <c r="E36" s="28" t="s">
        <v>778</v>
      </c>
      <c r="F36" s="28" t="s">
        <v>779</v>
      </c>
      <c r="G36" s="28" t="s">
        <v>465</v>
      </c>
    </row>
    <row r="37" spans="1:7">
      <c r="A37" s="28">
        <v>10107</v>
      </c>
      <c r="B37" s="28" t="s">
        <v>780</v>
      </c>
      <c r="C37" s="28" t="s">
        <v>781</v>
      </c>
      <c r="D37" s="28" t="s">
        <v>462</v>
      </c>
      <c r="E37" s="28" t="s">
        <v>782</v>
      </c>
      <c r="F37" s="28" t="s">
        <v>783</v>
      </c>
      <c r="G37" s="28" t="s">
        <v>465</v>
      </c>
    </row>
    <row r="38" spans="1:7">
      <c r="A38" s="28">
        <v>10109</v>
      </c>
      <c r="B38" s="28" t="s">
        <v>784</v>
      </c>
      <c r="C38" s="28" t="s">
        <v>785</v>
      </c>
      <c r="D38" s="28" t="s">
        <v>462</v>
      </c>
      <c r="E38" s="28" t="s">
        <v>786</v>
      </c>
      <c r="F38" s="28" t="s">
        <v>787</v>
      </c>
      <c r="G38" s="28" t="s">
        <v>465</v>
      </c>
    </row>
    <row r="39" spans="1:7">
      <c r="A39" s="28">
        <v>10116</v>
      </c>
      <c r="B39" s="28" t="s">
        <v>788</v>
      </c>
      <c r="C39" s="28" t="s">
        <v>789</v>
      </c>
      <c r="D39" s="28" t="s">
        <v>462</v>
      </c>
      <c r="E39" s="28" t="s">
        <v>790</v>
      </c>
      <c r="F39" s="28" t="s">
        <v>791</v>
      </c>
      <c r="G39" s="28" t="s">
        <v>465</v>
      </c>
    </row>
    <row r="40" spans="1:7">
      <c r="A40" s="28">
        <v>10120</v>
      </c>
      <c r="B40" s="28" t="s">
        <v>792</v>
      </c>
      <c r="C40" s="28" t="s">
        <v>793</v>
      </c>
      <c r="D40" s="28" t="s">
        <v>462</v>
      </c>
      <c r="E40" s="28" t="s">
        <v>794</v>
      </c>
      <c r="F40" s="28" t="s">
        <v>795</v>
      </c>
      <c r="G40" s="28" t="s">
        <v>465</v>
      </c>
    </row>
    <row r="41" spans="1:7">
      <c r="A41" s="28">
        <v>10130</v>
      </c>
      <c r="B41" s="28" t="s">
        <v>796</v>
      </c>
      <c r="C41" s="28" t="s">
        <v>797</v>
      </c>
      <c r="D41" s="28" t="s">
        <v>462</v>
      </c>
      <c r="E41" s="28" t="s">
        <v>798</v>
      </c>
      <c r="F41" s="28" t="s">
        <v>799</v>
      </c>
      <c r="G41" s="28" t="s">
        <v>465</v>
      </c>
    </row>
    <row r="42" spans="1:7">
      <c r="A42" s="28">
        <v>10132</v>
      </c>
      <c r="B42" s="28" t="s">
        <v>800</v>
      </c>
      <c r="C42" s="28" t="s">
        <v>801</v>
      </c>
      <c r="D42" s="28" t="s">
        <v>462</v>
      </c>
      <c r="E42" s="28" t="s">
        <v>802</v>
      </c>
      <c r="F42" s="28" t="s">
        <v>803</v>
      </c>
      <c r="G42" s="28" t="s">
        <v>465</v>
      </c>
    </row>
    <row r="43" spans="1:7">
      <c r="A43" s="28">
        <v>10139</v>
      </c>
      <c r="B43" s="28" t="s">
        <v>804</v>
      </c>
      <c r="C43" s="28" t="s">
        <v>805</v>
      </c>
      <c r="D43" s="28" t="s">
        <v>462</v>
      </c>
      <c r="E43" s="28" t="s">
        <v>806</v>
      </c>
      <c r="F43" s="28" t="s">
        <v>807</v>
      </c>
      <c r="G43" s="28" t="s">
        <v>465</v>
      </c>
    </row>
    <row r="44" spans="1:7">
      <c r="A44" s="28">
        <v>10143</v>
      </c>
      <c r="B44" s="28" t="s">
        <v>808</v>
      </c>
      <c r="C44" s="28" t="s">
        <v>809</v>
      </c>
      <c r="D44" s="28" t="s">
        <v>462</v>
      </c>
      <c r="E44" s="28" t="s">
        <v>810</v>
      </c>
      <c r="F44" s="28" t="s">
        <v>811</v>
      </c>
      <c r="G44" s="28" t="s">
        <v>465</v>
      </c>
    </row>
    <row r="45" spans="1:7">
      <c r="A45" s="28">
        <v>10149</v>
      </c>
      <c r="B45" s="28" t="s">
        <v>812</v>
      </c>
      <c r="C45" s="28" t="s">
        <v>813</v>
      </c>
      <c r="D45" s="28" t="s">
        <v>462</v>
      </c>
      <c r="E45" s="28" t="s">
        <v>814</v>
      </c>
      <c r="F45" s="28" t="s">
        <v>815</v>
      </c>
      <c r="G45" s="28" t="s">
        <v>465</v>
      </c>
    </row>
    <row r="46" spans="1:7">
      <c r="A46" s="28">
        <v>10154</v>
      </c>
      <c r="B46" s="28" t="s">
        <v>816</v>
      </c>
      <c r="C46" s="28" t="s">
        <v>817</v>
      </c>
      <c r="D46" s="28" t="s">
        <v>462</v>
      </c>
      <c r="E46" s="28" t="s">
        <v>818</v>
      </c>
      <c r="F46" s="28" t="s">
        <v>819</v>
      </c>
      <c r="G46" s="28" t="s">
        <v>465</v>
      </c>
    </row>
    <row r="47" spans="1:7">
      <c r="A47" s="28">
        <v>10183</v>
      </c>
      <c r="B47" s="28" t="s">
        <v>820</v>
      </c>
      <c r="C47" s="28" t="s">
        <v>821</v>
      </c>
      <c r="D47" s="28" t="s">
        <v>462</v>
      </c>
      <c r="E47" s="28" t="s">
        <v>822</v>
      </c>
      <c r="F47" s="28" t="s">
        <v>823</v>
      </c>
      <c r="G47" s="28" t="s">
        <v>465</v>
      </c>
    </row>
    <row r="48" spans="1:7">
      <c r="A48" s="28">
        <v>10187</v>
      </c>
      <c r="B48" s="28" t="s">
        <v>824</v>
      </c>
      <c r="C48" s="28" t="s">
        <v>825</v>
      </c>
      <c r="D48" s="28" t="s">
        <v>462</v>
      </c>
      <c r="E48" s="28" t="s">
        <v>826</v>
      </c>
      <c r="F48" s="28" t="s">
        <v>827</v>
      </c>
      <c r="G48" s="28" t="s">
        <v>465</v>
      </c>
    </row>
    <row r="49" spans="1:7">
      <c r="A49" s="28">
        <v>10190</v>
      </c>
      <c r="B49" s="28" t="s">
        <v>724</v>
      </c>
      <c r="C49" s="28" t="s">
        <v>828</v>
      </c>
      <c r="D49" s="28" t="s">
        <v>462</v>
      </c>
      <c r="E49" s="28" t="s">
        <v>829</v>
      </c>
      <c r="F49" s="28" t="s">
        <v>830</v>
      </c>
      <c r="G49" s="28" t="s">
        <v>465</v>
      </c>
    </row>
    <row r="50" spans="1:7">
      <c r="A50" s="28">
        <v>10191</v>
      </c>
      <c r="B50" s="28" t="s">
        <v>831</v>
      </c>
      <c r="C50" s="28" t="s">
        <v>832</v>
      </c>
      <c r="D50" s="28" t="s">
        <v>462</v>
      </c>
      <c r="E50" s="28" t="s">
        <v>833</v>
      </c>
      <c r="F50" s="28" t="s">
        <v>834</v>
      </c>
      <c r="G50" s="28" t="s">
        <v>465</v>
      </c>
    </row>
    <row r="51" spans="1:7">
      <c r="A51" s="28">
        <v>10192</v>
      </c>
      <c r="B51" s="28" t="s">
        <v>835</v>
      </c>
      <c r="C51" s="28" t="s">
        <v>836</v>
      </c>
      <c r="D51" s="28" t="s">
        <v>462</v>
      </c>
      <c r="E51" s="28" t="s">
        <v>837</v>
      </c>
      <c r="F51" s="28" t="s">
        <v>838</v>
      </c>
      <c r="G51" s="28" t="s">
        <v>465</v>
      </c>
    </row>
    <row r="52" spans="1:7">
      <c r="A52" s="28">
        <v>10199</v>
      </c>
      <c r="B52" s="28" t="s">
        <v>839</v>
      </c>
      <c r="C52" s="28" t="s">
        <v>840</v>
      </c>
      <c r="D52" s="28" t="s">
        <v>462</v>
      </c>
      <c r="E52" s="28" t="s">
        <v>841</v>
      </c>
      <c r="F52" s="28" t="s">
        <v>842</v>
      </c>
      <c r="G52" s="28" t="s">
        <v>465</v>
      </c>
    </row>
    <row r="53" spans="1:7">
      <c r="A53" s="28">
        <v>10203</v>
      </c>
      <c r="B53" s="28" t="s">
        <v>843</v>
      </c>
      <c r="C53" s="28" t="s">
        <v>836</v>
      </c>
      <c r="D53" s="28" t="s">
        <v>462</v>
      </c>
      <c r="E53" s="28" t="s">
        <v>844</v>
      </c>
      <c r="F53" s="28" t="s">
        <v>845</v>
      </c>
      <c r="G53" s="28" t="s">
        <v>465</v>
      </c>
    </row>
    <row r="54" spans="1:7">
      <c r="A54" s="28">
        <v>10204</v>
      </c>
      <c r="B54" s="28" t="s">
        <v>846</v>
      </c>
      <c r="C54" s="28" t="s">
        <v>847</v>
      </c>
      <c r="D54" s="28" t="s">
        <v>462</v>
      </c>
      <c r="E54" s="28" t="s">
        <v>848</v>
      </c>
      <c r="F54" s="28" t="s">
        <v>849</v>
      </c>
      <c r="G54" s="28" t="s">
        <v>465</v>
      </c>
    </row>
    <row r="55" spans="1:7">
      <c r="A55" s="28">
        <v>10206</v>
      </c>
      <c r="B55" s="28" t="s">
        <v>850</v>
      </c>
      <c r="C55" s="28" t="s">
        <v>851</v>
      </c>
      <c r="D55" s="28" t="s">
        <v>462</v>
      </c>
      <c r="E55" s="28" t="s">
        <v>852</v>
      </c>
      <c r="F55" s="28" t="s">
        <v>853</v>
      </c>
      <c r="G55" s="28" t="s">
        <v>465</v>
      </c>
    </row>
    <row r="56" spans="1:7">
      <c r="A56" s="28">
        <v>10234</v>
      </c>
      <c r="B56" s="28" t="s">
        <v>854</v>
      </c>
      <c r="C56" s="28" t="s">
        <v>855</v>
      </c>
      <c r="D56" s="28" t="s">
        <v>462</v>
      </c>
      <c r="E56" s="28" t="s">
        <v>856</v>
      </c>
      <c r="F56" s="28" t="s">
        <v>857</v>
      </c>
      <c r="G56" s="28" t="s">
        <v>465</v>
      </c>
    </row>
    <row r="57" spans="1:7">
      <c r="A57" s="28">
        <v>10236</v>
      </c>
      <c r="B57" s="28" t="s">
        <v>858</v>
      </c>
      <c r="C57" s="28" t="s">
        <v>859</v>
      </c>
      <c r="D57" s="28" t="s">
        <v>462</v>
      </c>
      <c r="E57" s="28" t="s">
        <v>860</v>
      </c>
      <c r="F57" s="28" t="s">
        <v>861</v>
      </c>
      <c r="G57" s="28" t="s">
        <v>465</v>
      </c>
    </row>
    <row r="58" spans="1:7">
      <c r="A58" s="28">
        <v>10245</v>
      </c>
      <c r="B58" s="28" t="s">
        <v>688</v>
      </c>
      <c r="C58" s="28" t="s">
        <v>862</v>
      </c>
      <c r="D58" s="28" t="s">
        <v>462</v>
      </c>
      <c r="E58" s="28" t="s">
        <v>863</v>
      </c>
      <c r="F58" s="28" t="s">
        <v>864</v>
      </c>
      <c r="G58" s="28" t="s">
        <v>465</v>
      </c>
    </row>
    <row r="59" spans="1:7">
      <c r="A59" s="28">
        <v>10254</v>
      </c>
      <c r="B59" s="28" t="s">
        <v>865</v>
      </c>
      <c r="C59" s="28" t="s">
        <v>866</v>
      </c>
      <c r="D59" s="28" t="s">
        <v>462</v>
      </c>
      <c r="E59" s="28" t="s">
        <v>867</v>
      </c>
      <c r="F59" s="28" t="s">
        <v>868</v>
      </c>
      <c r="G59" s="28" t="s">
        <v>465</v>
      </c>
    </row>
    <row r="60" spans="1:7">
      <c r="A60" s="28">
        <v>10261</v>
      </c>
      <c r="B60" s="28" t="s">
        <v>869</v>
      </c>
      <c r="C60" s="28" t="s">
        <v>870</v>
      </c>
      <c r="D60" s="28" t="s">
        <v>462</v>
      </c>
      <c r="E60" s="28" t="s">
        <v>871</v>
      </c>
      <c r="F60" s="28" t="s">
        <v>872</v>
      </c>
      <c r="G60" s="28" t="s">
        <v>465</v>
      </c>
    </row>
    <row r="61" spans="1:7">
      <c r="A61" s="28">
        <v>10271</v>
      </c>
      <c r="B61" s="28" t="s">
        <v>873</v>
      </c>
      <c r="C61" s="28" t="s">
        <v>874</v>
      </c>
      <c r="D61" s="28" t="s">
        <v>462</v>
      </c>
      <c r="E61" s="28" t="s">
        <v>875</v>
      </c>
      <c r="F61" s="28" t="s">
        <v>876</v>
      </c>
      <c r="G61" s="28" t="s">
        <v>465</v>
      </c>
    </row>
    <row r="62" spans="1:7">
      <c r="A62" s="28">
        <v>10279</v>
      </c>
      <c r="B62" s="28" t="s">
        <v>877</v>
      </c>
      <c r="C62" s="28" t="s">
        <v>878</v>
      </c>
      <c r="D62" s="28" t="s">
        <v>462</v>
      </c>
      <c r="E62" s="28" t="s">
        <v>879</v>
      </c>
      <c r="F62" s="28" t="s">
        <v>880</v>
      </c>
      <c r="G62" s="28" t="s">
        <v>465</v>
      </c>
    </row>
    <row r="63" spans="1:7">
      <c r="A63" s="28">
        <v>10288</v>
      </c>
      <c r="B63" s="28" t="s">
        <v>881</v>
      </c>
      <c r="C63" s="28" t="s">
        <v>882</v>
      </c>
      <c r="D63" s="28" t="s">
        <v>462</v>
      </c>
      <c r="E63" s="28" t="s">
        <v>883</v>
      </c>
      <c r="F63" s="28" t="s">
        <v>884</v>
      </c>
      <c r="G63" s="28" t="s">
        <v>465</v>
      </c>
    </row>
    <row r="64" spans="1:7">
      <c r="A64" s="28">
        <v>10297</v>
      </c>
      <c r="B64" s="28" t="s">
        <v>885</v>
      </c>
      <c r="C64" s="28" t="s">
        <v>886</v>
      </c>
      <c r="D64" s="28" t="s">
        <v>462</v>
      </c>
      <c r="E64" s="28" t="s">
        <v>887</v>
      </c>
      <c r="F64" s="28" t="s">
        <v>888</v>
      </c>
      <c r="G64" s="28" t="s">
        <v>465</v>
      </c>
    </row>
    <row r="65" spans="1:7">
      <c r="A65" s="28">
        <v>10301</v>
      </c>
      <c r="B65" s="28" t="s">
        <v>889</v>
      </c>
      <c r="C65" s="28" t="s">
        <v>890</v>
      </c>
      <c r="D65" s="28" t="s">
        <v>462</v>
      </c>
      <c r="E65" s="28" t="s">
        <v>891</v>
      </c>
      <c r="F65" s="28" t="s">
        <v>892</v>
      </c>
      <c r="G65" s="28" t="s">
        <v>465</v>
      </c>
    </row>
    <row r="66" spans="1:7">
      <c r="A66" s="28">
        <v>10305</v>
      </c>
      <c r="B66" s="28" t="s">
        <v>893</v>
      </c>
      <c r="C66" s="28" t="s">
        <v>894</v>
      </c>
      <c r="D66" s="28" t="s">
        <v>462</v>
      </c>
      <c r="E66" s="28" t="s">
        <v>895</v>
      </c>
      <c r="F66" s="28" t="s">
        <v>896</v>
      </c>
      <c r="G66" s="28" t="s">
        <v>465</v>
      </c>
    </row>
    <row r="67" spans="1:7">
      <c r="A67" s="28">
        <v>10310</v>
      </c>
      <c r="B67" s="28" t="s">
        <v>897</v>
      </c>
      <c r="C67" s="28" t="s">
        <v>898</v>
      </c>
      <c r="D67" s="28" t="s">
        <v>462</v>
      </c>
      <c r="E67" s="28" t="s">
        <v>899</v>
      </c>
      <c r="F67" s="28" t="s">
        <v>900</v>
      </c>
      <c r="G67" s="28" t="s">
        <v>465</v>
      </c>
    </row>
    <row r="68" spans="1:7">
      <c r="A68" s="28">
        <v>10324</v>
      </c>
      <c r="B68" s="28" t="s">
        <v>901</v>
      </c>
      <c r="C68" s="28" t="s">
        <v>902</v>
      </c>
      <c r="D68" s="28" t="s">
        <v>462</v>
      </c>
      <c r="E68" s="28" t="s">
        <v>903</v>
      </c>
      <c r="F68" s="28" t="s">
        <v>904</v>
      </c>
      <c r="G68" s="28" t="s">
        <v>465</v>
      </c>
    </row>
    <row r="69" spans="1:7">
      <c r="A69" s="28">
        <v>10330</v>
      </c>
      <c r="B69" s="28" t="s">
        <v>905</v>
      </c>
      <c r="C69" s="28" t="s">
        <v>906</v>
      </c>
      <c r="D69" s="28" t="s">
        <v>462</v>
      </c>
      <c r="E69" s="28" t="s">
        <v>907</v>
      </c>
      <c r="F69" s="28" t="s">
        <v>908</v>
      </c>
      <c r="G69" s="28" t="s">
        <v>465</v>
      </c>
    </row>
    <row r="70" spans="1:7">
      <c r="A70" s="28">
        <v>10332</v>
      </c>
      <c r="B70" s="28" t="s">
        <v>909</v>
      </c>
      <c r="C70" s="28" t="s">
        <v>910</v>
      </c>
      <c r="D70" s="28" t="s">
        <v>462</v>
      </c>
      <c r="E70" s="28" t="s">
        <v>911</v>
      </c>
      <c r="F70" s="28" t="s">
        <v>912</v>
      </c>
      <c r="G70" s="28" t="s">
        <v>465</v>
      </c>
    </row>
    <row r="71" spans="1:7">
      <c r="A71" s="28">
        <v>10333</v>
      </c>
      <c r="B71" s="28" t="s">
        <v>913</v>
      </c>
      <c r="C71" s="28" t="s">
        <v>914</v>
      </c>
      <c r="D71" s="28" t="s">
        <v>462</v>
      </c>
      <c r="E71" s="28" t="s">
        <v>915</v>
      </c>
      <c r="F71" s="28" t="s">
        <v>916</v>
      </c>
      <c r="G71" s="28" t="s">
        <v>465</v>
      </c>
    </row>
    <row r="72" spans="1:7">
      <c r="A72" s="28">
        <v>10335</v>
      </c>
      <c r="B72" s="28" t="s">
        <v>917</v>
      </c>
      <c r="C72" s="28" t="s">
        <v>918</v>
      </c>
      <c r="D72" s="28" t="s">
        <v>462</v>
      </c>
      <c r="E72" s="28" t="s">
        <v>919</v>
      </c>
      <c r="F72" s="28" t="s">
        <v>920</v>
      </c>
      <c r="G72" s="28" t="s">
        <v>465</v>
      </c>
    </row>
    <row r="73" spans="1:7">
      <c r="A73" s="28">
        <v>10363</v>
      </c>
      <c r="B73" s="28" t="s">
        <v>921</v>
      </c>
      <c r="C73" s="28" t="s">
        <v>922</v>
      </c>
      <c r="D73" s="28" t="s">
        <v>462</v>
      </c>
      <c r="E73" s="28" t="s">
        <v>923</v>
      </c>
      <c r="F73" s="28" t="s">
        <v>924</v>
      </c>
      <c r="G73" s="28" t="s">
        <v>465</v>
      </c>
    </row>
    <row r="74" spans="1:7">
      <c r="A74" s="28">
        <v>10375</v>
      </c>
      <c r="B74" s="28" t="s">
        <v>925</v>
      </c>
      <c r="C74" s="28" t="s">
        <v>926</v>
      </c>
      <c r="D74" s="28" t="s">
        <v>462</v>
      </c>
      <c r="E74" s="28" t="s">
        <v>927</v>
      </c>
      <c r="F74" s="28" t="s">
        <v>928</v>
      </c>
      <c r="G74" s="28" t="s">
        <v>465</v>
      </c>
    </row>
    <row r="75" spans="1:7">
      <c r="A75" s="28">
        <v>10377</v>
      </c>
      <c r="B75" s="28" t="s">
        <v>929</v>
      </c>
      <c r="C75" s="28" t="s">
        <v>930</v>
      </c>
      <c r="D75" s="28" t="s">
        <v>462</v>
      </c>
      <c r="E75" s="28" t="s">
        <v>931</v>
      </c>
      <c r="F75" s="28" t="s">
        <v>932</v>
      </c>
      <c r="G75" s="28" t="s">
        <v>465</v>
      </c>
    </row>
    <row r="76" spans="1:7">
      <c r="A76" s="28">
        <v>10382</v>
      </c>
      <c r="B76" s="28" t="s">
        <v>933</v>
      </c>
      <c r="C76" s="28" t="s">
        <v>934</v>
      </c>
      <c r="D76" s="28" t="s">
        <v>462</v>
      </c>
      <c r="E76" s="28" t="s">
        <v>935</v>
      </c>
      <c r="F76" s="28" t="s">
        <v>936</v>
      </c>
      <c r="G76" s="28" t="s">
        <v>465</v>
      </c>
    </row>
    <row r="77" spans="1:7">
      <c r="A77" s="28">
        <v>10386</v>
      </c>
      <c r="B77" s="28" t="s">
        <v>937</v>
      </c>
      <c r="C77" s="28" t="s">
        <v>938</v>
      </c>
      <c r="D77" s="28" t="s">
        <v>462</v>
      </c>
      <c r="E77" s="28" t="s">
        <v>939</v>
      </c>
      <c r="F77" s="28" t="s">
        <v>940</v>
      </c>
      <c r="G77" s="28" t="s">
        <v>465</v>
      </c>
    </row>
    <row r="78" spans="1:7">
      <c r="A78" s="28">
        <v>10395</v>
      </c>
      <c r="B78" s="28" t="s">
        <v>941</v>
      </c>
      <c r="C78" s="28" t="s">
        <v>942</v>
      </c>
      <c r="D78" s="28" t="s">
        <v>462</v>
      </c>
      <c r="E78" s="28" t="s">
        <v>943</v>
      </c>
      <c r="F78" s="28" t="s">
        <v>944</v>
      </c>
      <c r="G78" s="28" t="s">
        <v>465</v>
      </c>
    </row>
    <row r="79" spans="1:7">
      <c r="A79" s="28">
        <v>10404</v>
      </c>
      <c r="B79" s="28" t="s">
        <v>945</v>
      </c>
      <c r="C79" s="28" t="s">
        <v>946</v>
      </c>
      <c r="D79" s="28" t="s">
        <v>462</v>
      </c>
      <c r="E79" s="28" t="s">
        <v>947</v>
      </c>
      <c r="F79" s="28" t="s">
        <v>948</v>
      </c>
      <c r="G79" s="28" t="s">
        <v>465</v>
      </c>
    </row>
    <row r="80" spans="1:7">
      <c r="A80" s="28">
        <v>10405</v>
      </c>
      <c r="B80" s="28" t="s">
        <v>949</v>
      </c>
      <c r="C80" s="28" t="s">
        <v>950</v>
      </c>
      <c r="D80" s="28" t="s">
        <v>462</v>
      </c>
      <c r="E80" s="28" t="s">
        <v>951</v>
      </c>
      <c r="F80" s="28" t="s">
        <v>952</v>
      </c>
      <c r="G80" s="28" t="s">
        <v>465</v>
      </c>
    </row>
    <row r="81" spans="1:7">
      <c r="A81" s="28">
        <v>10407</v>
      </c>
      <c r="B81" s="28" t="s">
        <v>953</v>
      </c>
      <c r="C81" s="28" t="s">
        <v>954</v>
      </c>
      <c r="D81" s="28" t="s">
        <v>462</v>
      </c>
      <c r="E81" s="28" t="s">
        <v>955</v>
      </c>
      <c r="F81" s="28" t="s">
        <v>956</v>
      </c>
      <c r="G81" s="28" t="s">
        <v>465</v>
      </c>
    </row>
    <row r="82" spans="1:7">
      <c r="A82" s="28">
        <v>10410</v>
      </c>
      <c r="B82" s="28" t="s">
        <v>957</v>
      </c>
      <c r="C82" s="28" t="s">
        <v>958</v>
      </c>
      <c r="D82" s="28" t="s">
        <v>462</v>
      </c>
      <c r="E82" s="28" t="s">
        <v>959</v>
      </c>
      <c r="F82" s="28" t="s">
        <v>960</v>
      </c>
      <c r="G82" s="28" t="s">
        <v>465</v>
      </c>
    </row>
    <row r="83" spans="1:7">
      <c r="A83" s="28">
        <v>10411</v>
      </c>
      <c r="B83" s="28" t="s">
        <v>913</v>
      </c>
      <c r="C83" s="28" t="s">
        <v>961</v>
      </c>
      <c r="D83" s="28" t="s">
        <v>462</v>
      </c>
      <c r="E83" s="28" t="s">
        <v>962</v>
      </c>
      <c r="F83" s="28" t="s">
        <v>963</v>
      </c>
      <c r="G83" s="28" t="s">
        <v>465</v>
      </c>
    </row>
    <row r="84" spans="1:7">
      <c r="A84" s="28">
        <v>10417</v>
      </c>
      <c r="B84" s="28" t="s">
        <v>964</v>
      </c>
      <c r="C84" s="28" t="s">
        <v>965</v>
      </c>
      <c r="D84" s="28" t="s">
        <v>462</v>
      </c>
      <c r="E84" s="28" t="s">
        <v>966</v>
      </c>
      <c r="F84" s="28" t="s">
        <v>967</v>
      </c>
      <c r="G84" s="28" t="s">
        <v>465</v>
      </c>
    </row>
    <row r="85" spans="1:7">
      <c r="A85" s="28">
        <v>10424</v>
      </c>
      <c r="B85" s="28" t="s">
        <v>968</v>
      </c>
      <c r="C85" s="28" t="s">
        <v>969</v>
      </c>
      <c r="D85" s="28" t="s">
        <v>462</v>
      </c>
      <c r="E85" s="28" t="s">
        <v>970</v>
      </c>
      <c r="F85" s="28" t="s">
        <v>971</v>
      </c>
      <c r="G85" s="28" t="s">
        <v>465</v>
      </c>
    </row>
    <row r="86" spans="1:7">
      <c r="A86" s="28">
        <v>10443</v>
      </c>
      <c r="B86" s="28" t="s">
        <v>972</v>
      </c>
      <c r="C86" s="28" t="s">
        <v>973</v>
      </c>
      <c r="D86" s="28" t="s">
        <v>462</v>
      </c>
      <c r="E86" s="28" t="s">
        <v>974</v>
      </c>
      <c r="F86" s="28" t="s">
        <v>975</v>
      </c>
      <c r="G86" s="28" t="s">
        <v>465</v>
      </c>
    </row>
    <row r="87" spans="1:7">
      <c r="A87" s="28">
        <v>10450</v>
      </c>
      <c r="B87" s="28" t="s">
        <v>976</v>
      </c>
      <c r="C87" s="28" t="s">
        <v>977</v>
      </c>
      <c r="D87" s="28" t="s">
        <v>462</v>
      </c>
      <c r="E87" s="28" t="s">
        <v>978</v>
      </c>
      <c r="F87" s="28" t="s">
        <v>979</v>
      </c>
      <c r="G87" s="28" t="s">
        <v>465</v>
      </c>
    </row>
    <row r="88" spans="1:7">
      <c r="A88" s="28">
        <v>10457</v>
      </c>
      <c r="B88" s="28" t="s">
        <v>980</v>
      </c>
      <c r="C88" s="28" t="s">
        <v>981</v>
      </c>
      <c r="D88" s="28" t="s">
        <v>462</v>
      </c>
      <c r="E88" s="28" t="s">
        <v>982</v>
      </c>
      <c r="F88" s="28" t="s">
        <v>983</v>
      </c>
      <c r="G88" s="28" t="s">
        <v>465</v>
      </c>
    </row>
    <row r="89" spans="1:7">
      <c r="A89" s="28">
        <v>10458</v>
      </c>
      <c r="B89" s="28" t="s">
        <v>984</v>
      </c>
      <c r="C89" s="28" t="s">
        <v>985</v>
      </c>
      <c r="D89" s="28" t="s">
        <v>462</v>
      </c>
      <c r="E89" s="28" t="s">
        <v>986</v>
      </c>
      <c r="F89" s="28" t="s">
        <v>987</v>
      </c>
      <c r="G89" s="28" t="s">
        <v>465</v>
      </c>
    </row>
    <row r="90" spans="1:7">
      <c r="A90" s="28">
        <v>10472</v>
      </c>
      <c r="B90" s="28" t="s">
        <v>988</v>
      </c>
      <c r="C90" s="28" t="s">
        <v>989</v>
      </c>
      <c r="D90" s="28" t="s">
        <v>462</v>
      </c>
      <c r="E90" s="28" t="s">
        <v>990</v>
      </c>
      <c r="F90" s="28" t="s">
        <v>991</v>
      </c>
      <c r="G90" s="28" t="s">
        <v>465</v>
      </c>
    </row>
    <row r="91" spans="1:7">
      <c r="A91" s="28">
        <v>10476</v>
      </c>
      <c r="B91" s="28" t="s">
        <v>784</v>
      </c>
      <c r="C91" s="28" t="s">
        <v>992</v>
      </c>
      <c r="D91" s="28" t="s">
        <v>462</v>
      </c>
      <c r="E91" s="28" t="s">
        <v>993</v>
      </c>
      <c r="F91" s="28" t="s">
        <v>994</v>
      </c>
      <c r="G91" s="28" t="s">
        <v>465</v>
      </c>
    </row>
    <row r="92" spans="1:7">
      <c r="A92" s="28">
        <v>10485</v>
      </c>
      <c r="B92" s="28" t="s">
        <v>502</v>
      </c>
      <c r="C92" s="28" t="s">
        <v>995</v>
      </c>
      <c r="D92" s="28" t="s">
        <v>462</v>
      </c>
      <c r="E92" s="28" t="s">
        <v>996</v>
      </c>
      <c r="F92" s="28" t="s">
        <v>997</v>
      </c>
      <c r="G92" s="28" t="s">
        <v>465</v>
      </c>
    </row>
    <row r="93" spans="1:7">
      <c r="A93" s="28">
        <v>10487</v>
      </c>
      <c r="B93" s="28" t="s">
        <v>998</v>
      </c>
      <c r="C93" s="28" t="s">
        <v>999</v>
      </c>
      <c r="D93" s="28" t="s">
        <v>462</v>
      </c>
      <c r="E93" s="28" t="s">
        <v>1000</v>
      </c>
      <c r="F93" s="28" t="s">
        <v>1001</v>
      </c>
      <c r="G93" s="28" t="s">
        <v>465</v>
      </c>
    </row>
    <row r="94" spans="1:7">
      <c r="A94" s="28">
        <v>10493</v>
      </c>
      <c r="B94" s="28" t="s">
        <v>1002</v>
      </c>
      <c r="C94" s="28" t="s">
        <v>1003</v>
      </c>
      <c r="D94" s="28" t="s">
        <v>462</v>
      </c>
      <c r="E94" s="28" t="s">
        <v>1004</v>
      </c>
      <c r="F94" s="28" t="s">
        <v>1005</v>
      </c>
      <c r="G94" s="28" t="s">
        <v>465</v>
      </c>
    </row>
    <row r="95" spans="1:7">
      <c r="A95" s="28">
        <v>10494</v>
      </c>
      <c r="B95" s="28" t="s">
        <v>1006</v>
      </c>
      <c r="C95" s="28" t="s">
        <v>1007</v>
      </c>
      <c r="D95" s="28" t="s">
        <v>462</v>
      </c>
      <c r="E95" s="28" t="s">
        <v>1008</v>
      </c>
      <c r="F95" s="28" t="s">
        <v>1009</v>
      </c>
      <c r="G95" s="28" t="s">
        <v>465</v>
      </c>
    </row>
    <row r="96" spans="1:7">
      <c r="A96" s="28">
        <v>10495</v>
      </c>
      <c r="B96" s="28" t="s">
        <v>1010</v>
      </c>
      <c r="C96" s="28" t="s">
        <v>1011</v>
      </c>
      <c r="D96" s="28" t="s">
        <v>462</v>
      </c>
      <c r="E96" s="28" t="s">
        <v>1012</v>
      </c>
      <c r="F96" s="28" t="s">
        <v>1013</v>
      </c>
      <c r="G96" s="28" t="s">
        <v>465</v>
      </c>
    </row>
    <row r="97" spans="1:7">
      <c r="A97" s="28">
        <v>10505</v>
      </c>
      <c r="B97" s="28" t="s">
        <v>1014</v>
      </c>
      <c r="C97" s="28" t="s">
        <v>1015</v>
      </c>
      <c r="D97" s="28" t="s">
        <v>462</v>
      </c>
      <c r="E97" s="28" t="s">
        <v>1016</v>
      </c>
      <c r="F97" s="28" t="s">
        <v>1017</v>
      </c>
      <c r="G97" s="28" t="s">
        <v>465</v>
      </c>
    </row>
    <row r="98" spans="1:7">
      <c r="A98" s="28">
        <v>10506</v>
      </c>
      <c r="B98" s="28" t="s">
        <v>1018</v>
      </c>
      <c r="C98" s="28" t="s">
        <v>1019</v>
      </c>
      <c r="D98" s="28" t="s">
        <v>462</v>
      </c>
      <c r="E98" s="28" t="s">
        <v>1020</v>
      </c>
      <c r="F98" s="28" t="s">
        <v>1021</v>
      </c>
      <c r="G98" s="28" t="s">
        <v>465</v>
      </c>
    </row>
    <row r="99" spans="1:7">
      <c r="A99" s="28">
        <v>10507</v>
      </c>
      <c r="B99" s="28" t="s">
        <v>1022</v>
      </c>
      <c r="C99" s="28" t="s">
        <v>1023</v>
      </c>
      <c r="D99" s="28" t="s">
        <v>462</v>
      </c>
      <c r="E99" s="28" t="s">
        <v>1024</v>
      </c>
      <c r="F99" s="28" t="s">
        <v>1025</v>
      </c>
      <c r="G99" s="28" t="s">
        <v>465</v>
      </c>
    </row>
    <row r="100" spans="1:7">
      <c r="A100" s="28">
        <v>10518</v>
      </c>
      <c r="B100" s="28" t="s">
        <v>1026</v>
      </c>
      <c r="C100" s="28" t="s">
        <v>1027</v>
      </c>
      <c r="D100" s="28" t="s">
        <v>462</v>
      </c>
      <c r="E100" s="28" t="s">
        <v>1028</v>
      </c>
      <c r="F100" s="28" t="s">
        <v>1029</v>
      </c>
      <c r="G100" s="28" t="s">
        <v>465</v>
      </c>
    </row>
    <row r="101" spans="1:7">
      <c r="A101" s="28">
        <v>10520</v>
      </c>
      <c r="B101" s="28" t="s">
        <v>1030</v>
      </c>
      <c r="C101" s="28" t="s">
        <v>1031</v>
      </c>
      <c r="D101" s="28" t="s">
        <v>462</v>
      </c>
      <c r="E101" s="28" t="s">
        <v>1032</v>
      </c>
      <c r="F101" s="28" t="s">
        <v>1033</v>
      </c>
      <c r="G101" s="28" t="s">
        <v>465</v>
      </c>
    </row>
    <row r="102" spans="1:7">
      <c r="A102" s="28">
        <v>10523</v>
      </c>
      <c r="B102" s="28" t="s">
        <v>1034</v>
      </c>
      <c r="C102" s="28" t="s">
        <v>1035</v>
      </c>
      <c r="D102" s="28" t="s">
        <v>462</v>
      </c>
      <c r="E102" s="28" t="s">
        <v>1036</v>
      </c>
      <c r="F102" s="28" t="s">
        <v>1037</v>
      </c>
      <c r="G102" s="28" t="s">
        <v>465</v>
      </c>
    </row>
    <row r="103" spans="1:7">
      <c r="A103" s="28">
        <v>10527</v>
      </c>
      <c r="B103" s="28" t="s">
        <v>1038</v>
      </c>
      <c r="C103" s="28" t="s">
        <v>1039</v>
      </c>
      <c r="D103" s="28" t="s">
        <v>462</v>
      </c>
      <c r="E103" s="28" t="s">
        <v>1040</v>
      </c>
      <c r="F103" s="28" t="s">
        <v>1041</v>
      </c>
      <c r="G103" s="28" t="s">
        <v>465</v>
      </c>
    </row>
    <row r="104" spans="1:7">
      <c r="A104" s="28">
        <v>10536</v>
      </c>
      <c r="B104" s="28" t="s">
        <v>1042</v>
      </c>
      <c r="C104" s="28" t="s">
        <v>1043</v>
      </c>
      <c r="D104" s="28" t="s">
        <v>462</v>
      </c>
      <c r="E104" s="28" t="s">
        <v>1044</v>
      </c>
      <c r="F104" s="28" t="s">
        <v>1045</v>
      </c>
      <c r="G104" s="28" t="s">
        <v>465</v>
      </c>
    </row>
    <row r="105" spans="1:7">
      <c r="A105" s="28">
        <v>10537</v>
      </c>
      <c r="B105" s="28" t="s">
        <v>1046</v>
      </c>
      <c r="C105" s="28" t="s">
        <v>1047</v>
      </c>
      <c r="D105" s="28" t="s">
        <v>462</v>
      </c>
      <c r="E105" s="28" t="s">
        <v>1048</v>
      </c>
      <c r="F105" s="28" t="s">
        <v>1049</v>
      </c>
      <c r="G105" s="28" t="s">
        <v>465</v>
      </c>
    </row>
    <row r="106" spans="1:7">
      <c r="A106" s="28">
        <v>10541</v>
      </c>
      <c r="B106" s="28" t="s">
        <v>677</v>
      </c>
      <c r="C106" s="28" t="s">
        <v>1050</v>
      </c>
      <c r="D106" s="28" t="s">
        <v>462</v>
      </c>
      <c r="E106" s="28" t="s">
        <v>1051</v>
      </c>
      <c r="F106" s="28" t="s">
        <v>1052</v>
      </c>
      <c r="G106" s="28" t="s">
        <v>465</v>
      </c>
    </row>
    <row r="107" spans="1:7">
      <c r="A107" s="28">
        <v>10548</v>
      </c>
      <c r="B107" s="28" t="s">
        <v>788</v>
      </c>
      <c r="C107" s="28" t="s">
        <v>1053</v>
      </c>
      <c r="D107" s="28" t="s">
        <v>462</v>
      </c>
      <c r="E107" s="28" t="s">
        <v>1054</v>
      </c>
      <c r="F107" s="28" t="s">
        <v>1055</v>
      </c>
      <c r="G107" s="28" t="s">
        <v>465</v>
      </c>
    </row>
    <row r="108" spans="1:7">
      <c r="A108" s="28">
        <v>10553</v>
      </c>
      <c r="B108" s="28" t="s">
        <v>1056</v>
      </c>
      <c r="C108" s="28" t="s">
        <v>1057</v>
      </c>
      <c r="D108" s="28" t="s">
        <v>462</v>
      </c>
      <c r="E108" s="28" t="s">
        <v>1058</v>
      </c>
      <c r="F108" s="28" t="s">
        <v>1059</v>
      </c>
      <c r="G108" s="28" t="s">
        <v>465</v>
      </c>
    </row>
    <row r="109" spans="1:7">
      <c r="A109" s="28">
        <v>10554</v>
      </c>
      <c r="B109" s="28" t="s">
        <v>964</v>
      </c>
      <c r="C109" s="28" t="s">
        <v>1060</v>
      </c>
      <c r="D109" s="28" t="s">
        <v>462</v>
      </c>
      <c r="E109" s="28" t="s">
        <v>1061</v>
      </c>
      <c r="F109" s="28" t="s">
        <v>1062</v>
      </c>
      <c r="G109" s="28" t="s">
        <v>465</v>
      </c>
    </row>
    <row r="110" spans="1:7">
      <c r="A110" s="28">
        <v>10555</v>
      </c>
      <c r="B110" s="28" t="s">
        <v>1063</v>
      </c>
      <c r="C110" s="28" t="s">
        <v>507</v>
      </c>
      <c r="D110" s="28" t="s">
        <v>462</v>
      </c>
      <c r="E110" s="28" t="s">
        <v>1064</v>
      </c>
      <c r="F110" s="28" t="s">
        <v>1065</v>
      </c>
      <c r="G110" s="28" t="s">
        <v>465</v>
      </c>
    </row>
    <row r="111" spans="1:7">
      <c r="A111" s="28">
        <v>10558</v>
      </c>
      <c r="B111" s="28" t="s">
        <v>1066</v>
      </c>
      <c r="C111" s="28" t="s">
        <v>1067</v>
      </c>
      <c r="D111" s="28" t="s">
        <v>462</v>
      </c>
      <c r="E111" s="28" t="s">
        <v>1068</v>
      </c>
      <c r="F111" s="28" t="s">
        <v>1069</v>
      </c>
      <c r="G111" s="28" t="s">
        <v>465</v>
      </c>
    </row>
    <row r="112" spans="1:7">
      <c r="A112" s="28">
        <v>10560</v>
      </c>
      <c r="B112" s="28" t="s">
        <v>1070</v>
      </c>
      <c r="C112" s="28" t="s">
        <v>1071</v>
      </c>
      <c r="D112" s="28" t="s">
        <v>462</v>
      </c>
      <c r="E112" s="28" t="s">
        <v>1072</v>
      </c>
      <c r="F112" s="28" t="s">
        <v>1073</v>
      </c>
      <c r="G112" s="28" t="s">
        <v>465</v>
      </c>
    </row>
    <row r="113" spans="1:7">
      <c r="A113" s="28">
        <v>10561</v>
      </c>
      <c r="B113" s="28" t="s">
        <v>1074</v>
      </c>
      <c r="C113" s="28" t="s">
        <v>1075</v>
      </c>
      <c r="D113" s="28" t="s">
        <v>462</v>
      </c>
      <c r="E113" s="28" t="s">
        <v>1076</v>
      </c>
      <c r="F113" s="28" t="s">
        <v>1077</v>
      </c>
      <c r="G113" s="28" t="s">
        <v>465</v>
      </c>
    </row>
    <row r="114" spans="1:7">
      <c r="A114" s="28">
        <v>10562</v>
      </c>
      <c r="B114" s="28" t="s">
        <v>470</v>
      </c>
      <c r="C114" s="28" t="s">
        <v>1078</v>
      </c>
      <c r="D114" s="28" t="s">
        <v>462</v>
      </c>
      <c r="E114" s="28" t="s">
        <v>1079</v>
      </c>
      <c r="F114" s="28" t="s">
        <v>1080</v>
      </c>
      <c r="G114" s="28" t="s">
        <v>465</v>
      </c>
    </row>
    <row r="115" spans="1:7">
      <c r="A115" s="28">
        <v>10565</v>
      </c>
      <c r="B115" s="28" t="s">
        <v>1081</v>
      </c>
      <c r="C115" s="28" t="s">
        <v>1082</v>
      </c>
      <c r="D115" s="28" t="s">
        <v>462</v>
      </c>
      <c r="E115" s="28" t="s">
        <v>1083</v>
      </c>
      <c r="F115" s="28" t="s">
        <v>1084</v>
      </c>
      <c r="G115" s="28" t="s">
        <v>465</v>
      </c>
    </row>
    <row r="116" spans="1:7">
      <c r="A116" s="28">
        <v>10567</v>
      </c>
      <c r="B116" s="28" t="s">
        <v>1085</v>
      </c>
      <c r="C116" s="28" t="s">
        <v>1086</v>
      </c>
      <c r="D116" s="28" t="s">
        <v>462</v>
      </c>
      <c r="E116" s="28" t="s">
        <v>1087</v>
      </c>
      <c r="F116" s="28" t="s">
        <v>1088</v>
      </c>
      <c r="G116" s="28" t="s">
        <v>465</v>
      </c>
    </row>
    <row r="117" spans="1:7">
      <c r="A117" s="28">
        <v>10568</v>
      </c>
      <c r="B117" s="28" t="s">
        <v>1002</v>
      </c>
      <c r="C117" s="28" t="s">
        <v>1089</v>
      </c>
      <c r="D117" s="28" t="s">
        <v>462</v>
      </c>
      <c r="E117" s="28" t="s">
        <v>1090</v>
      </c>
      <c r="F117" s="28" t="s">
        <v>1091</v>
      </c>
      <c r="G117" s="28" t="s">
        <v>465</v>
      </c>
    </row>
    <row r="118" spans="1:7">
      <c r="A118" s="28">
        <v>10569</v>
      </c>
      <c r="B118" s="28" t="s">
        <v>1092</v>
      </c>
      <c r="C118" s="28" t="s">
        <v>1093</v>
      </c>
      <c r="D118" s="28" t="s">
        <v>462</v>
      </c>
      <c r="E118" s="28" t="s">
        <v>1094</v>
      </c>
      <c r="F118" s="28" t="s">
        <v>1095</v>
      </c>
      <c r="G118" s="28" t="s">
        <v>465</v>
      </c>
    </row>
    <row r="119" spans="1:7">
      <c r="A119" s="28">
        <v>10573</v>
      </c>
      <c r="B119" s="28" t="s">
        <v>1096</v>
      </c>
      <c r="C119" s="28" t="s">
        <v>1097</v>
      </c>
      <c r="D119" s="28" t="s">
        <v>462</v>
      </c>
      <c r="E119" s="28" t="s">
        <v>1098</v>
      </c>
      <c r="F119" s="28" t="s">
        <v>1099</v>
      </c>
      <c r="G119" s="28" t="s">
        <v>465</v>
      </c>
    </row>
    <row r="120" spans="1:7">
      <c r="A120" s="28">
        <v>10576</v>
      </c>
      <c r="B120" s="28" t="s">
        <v>1100</v>
      </c>
      <c r="C120" s="28" t="s">
        <v>1101</v>
      </c>
      <c r="D120" s="28" t="s">
        <v>462</v>
      </c>
      <c r="E120" s="28" t="s">
        <v>1102</v>
      </c>
      <c r="F120" s="28" t="s">
        <v>1103</v>
      </c>
      <c r="G120" s="28" t="s">
        <v>465</v>
      </c>
    </row>
    <row r="121" spans="1:7">
      <c r="A121" s="28">
        <v>10579</v>
      </c>
      <c r="B121" s="28" t="s">
        <v>1104</v>
      </c>
      <c r="C121" s="28" t="s">
        <v>1105</v>
      </c>
      <c r="D121" s="28" t="s">
        <v>462</v>
      </c>
      <c r="E121" s="28" t="s">
        <v>1106</v>
      </c>
      <c r="F121" s="28" t="s">
        <v>1107</v>
      </c>
      <c r="G121" s="28" t="s">
        <v>465</v>
      </c>
    </row>
    <row r="122" spans="1:7">
      <c r="A122" s="28">
        <v>10583</v>
      </c>
      <c r="B122" s="28" t="s">
        <v>1108</v>
      </c>
      <c r="C122" s="28" t="s">
        <v>1109</v>
      </c>
      <c r="D122" s="28" t="s">
        <v>462</v>
      </c>
      <c r="E122" s="28" t="s">
        <v>1110</v>
      </c>
      <c r="F122" s="28" t="s">
        <v>1111</v>
      </c>
      <c r="G122" s="28" t="s">
        <v>465</v>
      </c>
    </row>
    <row r="123" spans="1:7">
      <c r="A123" s="28">
        <v>10584</v>
      </c>
      <c r="B123" s="28" t="s">
        <v>1112</v>
      </c>
      <c r="C123" s="28" t="s">
        <v>1113</v>
      </c>
      <c r="D123" s="28" t="s">
        <v>462</v>
      </c>
      <c r="E123" s="28" t="s">
        <v>1114</v>
      </c>
      <c r="F123" s="28" t="s">
        <v>1115</v>
      </c>
      <c r="G123" s="28" t="s">
        <v>465</v>
      </c>
    </row>
    <row r="124" spans="1:7">
      <c r="A124" s="28">
        <v>10590</v>
      </c>
      <c r="B124" s="28" t="s">
        <v>1116</v>
      </c>
      <c r="C124" s="28" t="s">
        <v>1117</v>
      </c>
      <c r="D124" s="28" t="s">
        <v>462</v>
      </c>
      <c r="E124" s="28" t="s">
        <v>1118</v>
      </c>
      <c r="F124" s="28" t="s">
        <v>1119</v>
      </c>
      <c r="G124" s="28" t="s">
        <v>465</v>
      </c>
    </row>
    <row r="125" spans="1:7">
      <c r="A125" s="28">
        <v>10591</v>
      </c>
      <c r="B125" s="28" t="s">
        <v>1120</v>
      </c>
      <c r="C125" s="28" t="s">
        <v>1121</v>
      </c>
      <c r="D125" s="28" t="s">
        <v>462</v>
      </c>
      <c r="E125" s="28" t="s">
        <v>1122</v>
      </c>
      <c r="F125" s="28" t="s">
        <v>1123</v>
      </c>
      <c r="G125" s="28" t="s">
        <v>465</v>
      </c>
    </row>
    <row r="126" spans="1:7">
      <c r="A126" s="28">
        <v>10592</v>
      </c>
      <c r="B126" s="28" t="s">
        <v>1124</v>
      </c>
      <c r="C126" s="28" t="s">
        <v>1125</v>
      </c>
      <c r="D126" s="28" t="s">
        <v>462</v>
      </c>
      <c r="E126" s="28" t="s">
        <v>1126</v>
      </c>
      <c r="F126" s="28" t="s">
        <v>1127</v>
      </c>
      <c r="G126" s="28" t="s">
        <v>465</v>
      </c>
    </row>
    <row r="127" spans="1:7">
      <c r="A127" s="28">
        <v>10593</v>
      </c>
      <c r="B127" s="28" t="s">
        <v>1128</v>
      </c>
      <c r="C127" s="28" t="s">
        <v>1129</v>
      </c>
      <c r="D127" s="28" t="s">
        <v>462</v>
      </c>
      <c r="E127" s="28" t="s">
        <v>1130</v>
      </c>
      <c r="F127" s="28" t="s">
        <v>1131</v>
      </c>
      <c r="G127" s="28" t="s">
        <v>465</v>
      </c>
    </row>
    <row r="128" spans="1:7">
      <c r="A128" s="28">
        <v>10594</v>
      </c>
      <c r="B128" s="28" t="s">
        <v>1034</v>
      </c>
      <c r="C128" s="28" t="s">
        <v>1132</v>
      </c>
      <c r="D128" s="28" t="s">
        <v>462</v>
      </c>
      <c r="E128" s="28" t="s">
        <v>1133</v>
      </c>
      <c r="F128" s="28" t="s">
        <v>1134</v>
      </c>
      <c r="G128" s="28" t="s">
        <v>465</v>
      </c>
    </row>
    <row r="129" spans="1:7">
      <c r="A129" s="28">
        <v>10600</v>
      </c>
      <c r="B129" s="28" t="s">
        <v>1135</v>
      </c>
      <c r="C129" s="28" t="s">
        <v>1136</v>
      </c>
      <c r="D129" s="28" t="s">
        <v>462</v>
      </c>
      <c r="E129" s="28" t="s">
        <v>1137</v>
      </c>
      <c r="F129" s="28" t="s">
        <v>1138</v>
      </c>
      <c r="G129" s="28" t="s">
        <v>465</v>
      </c>
    </row>
    <row r="130" spans="1:7">
      <c r="A130" s="28">
        <v>10606</v>
      </c>
      <c r="B130" s="28" t="s">
        <v>1139</v>
      </c>
      <c r="C130" s="28" t="s">
        <v>1140</v>
      </c>
      <c r="D130" s="28" t="s">
        <v>462</v>
      </c>
      <c r="E130" s="28" t="s">
        <v>1141</v>
      </c>
      <c r="F130" s="28" t="s">
        <v>1142</v>
      </c>
      <c r="G130" s="28" t="s">
        <v>465</v>
      </c>
    </row>
    <row r="131" spans="1:7">
      <c r="A131" s="28">
        <v>10612</v>
      </c>
      <c r="B131" s="28" t="s">
        <v>980</v>
      </c>
      <c r="C131" s="28" t="s">
        <v>1143</v>
      </c>
      <c r="D131" s="28" t="s">
        <v>462</v>
      </c>
      <c r="E131" s="28" t="s">
        <v>1144</v>
      </c>
      <c r="F131" s="28" t="s">
        <v>1145</v>
      </c>
      <c r="G131" s="28" t="s">
        <v>465</v>
      </c>
    </row>
    <row r="132" spans="1:7">
      <c r="A132" s="28">
        <v>10614</v>
      </c>
      <c r="B132" s="28" t="s">
        <v>1146</v>
      </c>
      <c r="C132" s="28" t="s">
        <v>1147</v>
      </c>
      <c r="D132" s="28" t="s">
        <v>462</v>
      </c>
      <c r="E132" s="28" t="s">
        <v>1148</v>
      </c>
      <c r="F132" s="28" t="s">
        <v>1149</v>
      </c>
      <c r="G132" s="28" t="s">
        <v>465</v>
      </c>
    </row>
    <row r="133" spans="1:7">
      <c r="A133" s="28">
        <v>10618</v>
      </c>
      <c r="B133" s="28" t="s">
        <v>1150</v>
      </c>
      <c r="C133" s="28" t="s">
        <v>1151</v>
      </c>
      <c r="D133" s="28" t="s">
        <v>462</v>
      </c>
      <c r="E133" s="28" t="s">
        <v>1152</v>
      </c>
      <c r="F133" s="28" t="s">
        <v>1153</v>
      </c>
      <c r="G133" s="28" t="s">
        <v>465</v>
      </c>
    </row>
    <row r="134" spans="1:7">
      <c r="A134" s="28">
        <v>10622</v>
      </c>
      <c r="B134" s="28" t="s">
        <v>1154</v>
      </c>
      <c r="C134" s="28" t="s">
        <v>1155</v>
      </c>
      <c r="D134" s="28" t="s">
        <v>462</v>
      </c>
      <c r="E134" s="28" t="s">
        <v>1156</v>
      </c>
      <c r="F134" s="28" t="s">
        <v>1157</v>
      </c>
      <c r="G134" s="28" t="s">
        <v>465</v>
      </c>
    </row>
    <row r="135" spans="1:7">
      <c r="A135" s="28">
        <v>10623</v>
      </c>
      <c r="B135" s="28" t="s">
        <v>1158</v>
      </c>
      <c r="C135" s="28" t="s">
        <v>1159</v>
      </c>
      <c r="D135" s="28" t="s">
        <v>462</v>
      </c>
      <c r="E135" s="28" t="s">
        <v>1160</v>
      </c>
      <c r="F135" s="28" t="s">
        <v>1161</v>
      </c>
      <c r="G135" s="28" t="s">
        <v>465</v>
      </c>
    </row>
    <row r="136" spans="1:7">
      <c r="A136" s="28">
        <v>10626</v>
      </c>
      <c r="B136" s="28" t="s">
        <v>1162</v>
      </c>
      <c r="C136" s="28" t="s">
        <v>1155</v>
      </c>
      <c r="D136" s="28" t="s">
        <v>462</v>
      </c>
      <c r="E136" s="28" t="s">
        <v>1163</v>
      </c>
      <c r="F136" s="28" t="s">
        <v>1164</v>
      </c>
      <c r="G136" s="28" t="s">
        <v>465</v>
      </c>
    </row>
    <row r="137" spans="1:7">
      <c r="A137" s="28">
        <v>10629</v>
      </c>
      <c r="B137" s="28" t="s">
        <v>1165</v>
      </c>
      <c r="C137" s="28" t="s">
        <v>1166</v>
      </c>
      <c r="D137" s="28" t="s">
        <v>462</v>
      </c>
      <c r="E137" s="28" t="s">
        <v>1167</v>
      </c>
      <c r="F137" s="28" t="s">
        <v>1168</v>
      </c>
      <c r="G137" s="28" t="s">
        <v>465</v>
      </c>
    </row>
    <row r="138" spans="1:7">
      <c r="A138" s="28">
        <v>10637</v>
      </c>
      <c r="B138" s="28" t="s">
        <v>1169</v>
      </c>
      <c r="C138" s="28" t="s">
        <v>1170</v>
      </c>
      <c r="D138" s="28" t="s">
        <v>462</v>
      </c>
      <c r="E138" s="28" t="s">
        <v>1171</v>
      </c>
      <c r="F138" s="28" t="s">
        <v>1172</v>
      </c>
      <c r="G138" s="28" t="s">
        <v>465</v>
      </c>
    </row>
    <row r="139" spans="1:7">
      <c r="A139" s="28">
        <v>10638</v>
      </c>
      <c r="B139" s="28" t="s">
        <v>1173</v>
      </c>
      <c r="C139" s="28" t="s">
        <v>1174</v>
      </c>
      <c r="D139" s="28" t="s">
        <v>462</v>
      </c>
      <c r="E139" s="28" t="s">
        <v>1175</v>
      </c>
      <c r="F139" s="28" t="s">
        <v>1176</v>
      </c>
      <c r="G139" s="28" t="s">
        <v>465</v>
      </c>
    </row>
    <row r="140" spans="1:7">
      <c r="A140" s="28">
        <v>10640</v>
      </c>
      <c r="B140" s="28" t="s">
        <v>684</v>
      </c>
      <c r="C140" s="28" t="s">
        <v>1177</v>
      </c>
      <c r="D140" s="28" t="s">
        <v>462</v>
      </c>
      <c r="E140" s="28" t="s">
        <v>1178</v>
      </c>
      <c r="F140" s="28" t="s">
        <v>1179</v>
      </c>
      <c r="G140" s="28" t="s">
        <v>465</v>
      </c>
    </row>
    <row r="141" spans="1:7">
      <c r="A141" s="28">
        <v>10647</v>
      </c>
      <c r="B141" s="28" t="s">
        <v>1180</v>
      </c>
      <c r="C141" s="28" t="s">
        <v>1181</v>
      </c>
      <c r="D141" s="28" t="s">
        <v>462</v>
      </c>
      <c r="E141" s="28" t="s">
        <v>1182</v>
      </c>
      <c r="F141" s="28" t="s">
        <v>1183</v>
      </c>
      <c r="G141" s="28" t="s">
        <v>465</v>
      </c>
    </row>
    <row r="142" spans="1:7">
      <c r="A142" s="28">
        <v>10652</v>
      </c>
      <c r="B142" s="28" t="s">
        <v>1184</v>
      </c>
      <c r="C142" s="28" t="s">
        <v>1185</v>
      </c>
      <c r="D142" s="28" t="s">
        <v>462</v>
      </c>
      <c r="E142" s="28" t="s">
        <v>1186</v>
      </c>
      <c r="F142" s="28" t="s">
        <v>1187</v>
      </c>
      <c r="G142" s="28" t="s">
        <v>465</v>
      </c>
    </row>
    <row r="143" spans="1:7">
      <c r="A143" s="28">
        <v>10655</v>
      </c>
      <c r="B143" s="28" t="s">
        <v>1188</v>
      </c>
      <c r="C143" s="28" t="s">
        <v>1189</v>
      </c>
      <c r="D143" s="28" t="s">
        <v>462</v>
      </c>
      <c r="E143" s="28" t="s">
        <v>1190</v>
      </c>
      <c r="F143" s="28" t="s">
        <v>1191</v>
      </c>
      <c r="G143" s="28" t="s">
        <v>465</v>
      </c>
    </row>
    <row r="144" spans="1:7">
      <c r="A144" s="28">
        <v>10656</v>
      </c>
      <c r="B144" s="28" t="s">
        <v>1192</v>
      </c>
      <c r="C144" s="28" t="s">
        <v>1193</v>
      </c>
      <c r="D144" s="28" t="s">
        <v>462</v>
      </c>
      <c r="E144" s="28" t="s">
        <v>1194</v>
      </c>
      <c r="F144" s="28" t="s">
        <v>1195</v>
      </c>
      <c r="G144" s="28" t="s">
        <v>465</v>
      </c>
    </row>
    <row r="145" spans="1:7">
      <c r="A145" s="28">
        <v>10658</v>
      </c>
      <c r="B145" s="28" t="s">
        <v>1196</v>
      </c>
      <c r="C145" s="28" t="s">
        <v>1197</v>
      </c>
      <c r="D145" s="28" t="s">
        <v>462</v>
      </c>
      <c r="E145" s="28" t="s">
        <v>1198</v>
      </c>
      <c r="F145" s="28" t="s">
        <v>1199</v>
      </c>
      <c r="G145" s="28" t="s">
        <v>465</v>
      </c>
    </row>
    <row r="146" spans="1:7">
      <c r="A146" s="28">
        <v>10666</v>
      </c>
      <c r="B146" s="28" t="s">
        <v>1169</v>
      </c>
      <c r="C146" s="28" t="s">
        <v>1089</v>
      </c>
      <c r="D146" s="28" t="s">
        <v>462</v>
      </c>
      <c r="E146" s="28" t="s">
        <v>1200</v>
      </c>
      <c r="F146" s="28" t="s">
        <v>1201</v>
      </c>
      <c r="G146" s="28" t="s">
        <v>465</v>
      </c>
    </row>
    <row r="147" spans="1:7">
      <c r="A147" s="28">
        <v>10668</v>
      </c>
      <c r="B147" s="28" t="s">
        <v>1092</v>
      </c>
      <c r="C147" s="28" t="s">
        <v>840</v>
      </c>
      <c r="D147" s="28" t="s">
        <v>462</v>
      </c>
      <c r="E147" s="28" t="s">
        <v>1202</v>
      </c>
      <c r="F147" s="28" t="s">
        <v>1203</v>
      </c>
      <c r="G147" s="28" t="s">
        <v>465</v>
      </c>
    </row>
    <row r="148" spans="1:7">
      <c r="A148" s="28">
        <v>10669</v>
      </c>
      <c r="B148" s="28" t="s">
        <v>1204</v>
      </c>
      <c r="C148" s="28" t="s">
        <v>1205</v>
      </c>
      <c r="D148" s="28" t="s">
        <v>462</v>
      </c>
      <c r="E148" s="28" t="s">
        <v>1206</v>
      </c>
      <c r="F148" s="28" t="s">
        <v>1207</v>
      </c>
      <c r="G148" s="28" t="s">
        <v>465</v>
      </c>
    </row>
    <row r="149" spans="1:7">
      <c r="A149" s="28">
        <v>10681</v>
      </c>
      <c r="B149" s="28" t="s">
        <v>1208</v>
      </c>
      <c r="C149" s="28" t="s">
        <v>1209</v>
      </c>
      <c r="D149" s="28" t="s">
        <v>462</v>
      </c>
      <c r="E149" s="28" t="s">
        <v>1210</v>
      </c>
      <c r="F149" s="28" t="s">
        <v>1211</v>
      </c>
      <c r="G149" s="28" t="s">
        <v>465</v>
      </c>
    </row>
    <row r="150" spans="1:7">
      <c r="A150" s="28">
        <v>10685</v>
      </c>
      <c r="B150" s="28" t="s">
        <v>1212</v>
      </c>
      <c r="C150" s="28" t="s">
        <v>1213</v>
      </c>
      <c r="D150" s="28" t="s">
        <v>462</v>
      </c>
      <c r="E150" s="28" t="s">
        <v>1214</v>
      </c>
      <c r="F150" s="28" t="s">
        <v>1215</v>
      </c>
      <c r="G150" s="28" t="s">
        <v>465</v>
      </c>
    </row>
    <row r="151" spans="1:7">
      <c r="A151" s="28">
        <v>10701</v>
      </c>
      <c r="B151" s="28" t="s">
        <v>1216</v>
      </c>
      <c r="C151" s="28" t="s">
        <v>1217</v>
      </c>
      <c r="D151" s="28" t="s">
        <v>462</v>
      </c>
      <c r="E151" s="28" t="s">
        <v>1218</v>
      </c>
      <c r="F151" s="28" t="s">
        <v>1219</v>
      </c>
      <c r="G151" s="28" t="s">
        <v>465</v>
      </c>
    </row>
    <row r="152" spans="1:7">
      <c r="A152" s="28">
        <v>10711</v>
      </c>
      <c r="B152" s="28" t="s">
        <v>1220</v>
      </c>
      <c r="C152" s="28" t="s">
        <v>1221</v>
      </c>
      <c r="D152" s="28" t="s">
        <v>462</v>
      </c>
      <c r="E152" s="28" t="s">
        <v>1222</v>
      </c>
      <c r="F152" s="28" t="s">
        <v>1223</v>
      </c>
      <c r="G152" s="28" t="s">
        <v>465</v>
      </c>
    </row>
    <row r="153" spans="1:7">
      <c r="A153" s="28">
        <v>10713</v>
      </c>
      <c r="B153" s="28" t="s">
        <v>1224</v>
      </c>
      <c r="C153" s="28" t="s">
        <v>1225</v>
      </c>
      <c r="D153" s="28" t="s">
        <v>462</v>
      </c>
      <c r="E153" s="28" t="s">
        <v>1226</v>
      </c>
      <c r="F153" s="28" t="s">
        <v>1227</v>
      </c>
      <c r="G153" s="28" t="s">
        <v>465</v>
      </c>
    </row>
    <row r="154" spans="1:7">
      <c r="A154" s="28">
        <v>10714</v>
      </c>
      <c r="B154" s="28" t="s">
        <v>1228</v>
      </c>
      <c r="C154" s="28" t="s">
        <v>1229</v>
      </c>
      <c r="D154" s="28" t="s">
        <v>462</v>
      </c>
      <c r="E154" s="28" t="s">
        <v>1230</v>
      </c>
      <c r="F154" s="28" t="s">
        <v>1231</v>
      </c>
      <c r="G154" s="28" t="s">
        <v>465</v>
      </c>
    </row>
    <row r="155" spans="1:7">
      <c r="A155" s="28">
        <v>10724</v>
      </c>
      <c r="B155" s="28" t="s">
        <v>1232</v>
      </c>
      <c r="C155" s="28" t="s">
        <v>1233</v>
      </c>
      <c r="D155" s="28" t="s">
        <v>462</v>
      </c>
      <c r="E155" s="28" t="s">
        <v>1234</v>
      </c>
      <c r="F155" s="28" t="s">
        <v>1235</v>
      </c>
      <c r="G155" s="28" t="s">
        <v>465</v>
      </c>
    </row>
    <row r="156" spans="1:7">
      <c r="A156" s="28">
        <v>10729</v>
      </c>
      <c r="B156" s="28" t="s">
        <v>788</v>
      </c>
      <c r="C156" s="28" t="s">
        <v>1236</v>
      </c>
      <c r="D156" s="28" t="s">
        <v>462</v>
      </c>
      <c r="E156" s="28" t="s">
        <v>1237</v>
      </c>
      <c r="F156" s="28" t="s">
        <v>1238</v>
      </c>
      <c r="G156" s="28" t="s">
        <v>465</v>
      </c>
    </row>
    <row r="157" spans="1:7">
      <c r="A157" s="28">
        <v>10750</v>
      </c>
      <c r="B157" s="28" t="s">
        <v>732</v>
      </c>
      <c r="C157" s="28" t="s">
        <v>1239</v>
      </c>
      <c r="D157" s="28" t="s">
        <v>462</v>
      </c>
      <c r="E157" s="28" t="s">
        <v>1240</v>
      </c>
      <c r="F157" s="28" t="s">
        <v>1241</v>
      </c>
      <c r="G157" s="28" t="s">
        <v>465</v>
      </c>
    </row>
    <row r="158" spans="1:7">
      <c r="A158" s="28">
        <v>10752</v>
      </c>
      <c r="B158" s="28" t="s">
        <v>1242</v>
      </c>
      <c r="C158" s="28" t="s">
        <v>1243</v>
      </c>
      <c r="D158" s="28" t="s">
        <v>462</v>
      </c>
      <c r="E158" s="28" t="s">
        <v>1244</v>
      </c>
      <c r="F158" s="28" t="s">
        <v>1245</v>
      </c>
      <c r="G158" s="28" t="s">
        <v>465</v>
      </c>
    </row>
    <row r="159" spans="1:7">
      <c r="A159" s="28">
        <v>10753</v>
      </c>
      <c r="B159" s="28" t="s">
        <v>1246</v>
      </c>
      <c r="C159" s="28" t="s">
        <v>1247</v>
      </c>
      <c r="D159" s="28" t="s">
        <v>462</v>
      </c>
      <c r="E159" s="28" t="s">
        <v>1248</v>
      </c>
      <c r="F159" s="28" t="s">
        <v>1249</v>
      </c>
      <c r="G159" s="28" t="s">
        <v>465</v>
      </c>
    </row>
    <row r="160" spans="1:7">
      <c r="A160" s="28">
        <v>10754</v>
      </c>
      <c r="B160" s="28" t="s">
        <v>1250</v>
      </c>
      <c r="C160" s="28" t="s">
        <v>1251</v>
      </c>
      <c r="D160" s="28" t="s">
        <v>462</v>
      </c>
      <c r="E160" s="28" t="s">
        <v>1252</v>
      </c>
      <c r="F160" s="28" t="s">
        <v>1253</v>
      </c>
      <c r="G160" s="28" t="s">
        <v>465</v>
      </c>
    </row>
    <row r="161" spans="1:7">
      <c r="A161" s="28">
        <v>10755</v>
      </c>
      <c r="B161" s="28" t="s">
        <v>1254</v>
      </c>
      <c r="C161" s="28" t="s">
        <v>1255</v>
      </c>
      <c r="D161" s="28" t="s">
        <v>462</v>
      </c>
      <c r="E161" s="28" t="s">
        <v>1256</v>
      </c>
      <c r="F161" s="28" t="s">
        <v>1257</v>
      </c>
      <c r="G161" s="28" t="s">
        <v>465</v>
      </c>
    </row>
    <row r="162" spans="1:7">
      <c r="A162" s="28">
        <v>10762</v>
      </c>
      <c r="B162" s="28" t="s">
        <v>1258</v>
      </c>
      <c r="C162" s="28" t="s">
        <v>1259</v>
      </c>
      <c r="D162" s="28" t="s">
        <v>462</v>
      </c>
      <c r="E162" s="28" t="s">
        <v>1260</v>
      </c>
      <c r="F162" s="28" t="s">
        <v>1261</v>
      </c>
      <c r="G162" s="28" t="s">
        <v>465</v>
      </c>
    </row>
    <row r="163" spans="1:7">
      <c r="A163" s="28">
        <v>10764</v>
      </c>
      <c r="B163" s="28" t="s">
        <v>478</v>
      </c>
      <c r="C163" s="28" t="s">
        <v>1262</v>
      </c>
      <c r="D163" s="28" t="s">
        <v>462</v>
      </c>
      <c r="E163" s="28" t="s">
        <v>1263</v>
      </c>
      <c r="F163" s="28" t="s">
        <v>1264</v>
      </c>
      <c r="G163" s="28" t="s">
        <v>465</v>
      </c>
    </row>
    <row r="164" spans="1:7">
      <c r="A164" s="28">
        <v>10765</v>
      </c>
      <c r="B164" s="28" t="s">
        <v>1265</v>
      </c>
      <c r="C164" s="28" t="s">
        <v>1266</v>
      </c>
      <c r="D164" s="28" t="s">
        <v>462</v>
      </c>
      <c r="E164" s="28" t="s">
        <v>1267</v>
      </c>
      <c r="F164" s="28" t="s">
        <v>1268</v>
      </c>
      <c r="G164" s="28" t="s">
        <v>465</v>
      </c>
    </row>
    <row r="165" spans="1:7">
      <c r="A165" s="28">
        <v>10771</v>
      </c>
      <c r="B165" s="28" t="s">
        <v>1269</v>
      </c>
      <c r="C165" s="28" t="s">
        <v>1270</v>
      </c>
      <c r="D165" s="28" t="s">
        <v>462</v>
      </c>
      <c r="E165" s="28" t="s">
        <v>1271</v>
      </c>
      <c r="F165" s="28" t="s">
        <v>1272</v>
      </c>
      <c r="G165" s="28" t="s">
        <v>465</v>
      </c>
    </row>
    <row r="166" spans="1:7">
      <c r="A166" s="28">
        <v>10776</v>
      </c>
      <c r="B166" s="28" t="s">
        <v>1273</v>
      </c>
      <c r="C166" s="28" t="s">
        <v>1274</v>
      </c>
      <c r="D166" s="28" t="s">
        <v>462</v>
      </c>
      <c r="E166" s="28" t="s">
        <v>1275</v>
      </c>
      <c r="F166" s="28" t="s">
        <v>1276</v>
      </c>
      <c r="G166" s="28" t="s">
        <v>465</v>
      </c>
    </row>
    <row r="167" spans="1:7">
      <c r="A167" s="28">
        <v>10793</v>
      </c>
      <c r="B167" s="28" t="s">
        <v>1277</v>
      </c>
      <c r="C167" s="28" t="s">
        <v>1278</v>
      </c>
      <c r="D167" s="28" t="s">
        <v>462</v>
      </c>
      <c r="E167" s="28" t="s">
        <v>1279</v>
      </c>
      <c r="F167" s="28" t="s">
        <v>1280</v>
      </c>
      <c r="G167" s="28" t="s">
        <v>465</v>
      </c>
    </row>
    <row r="168" spans="1:7">
      <c r="A168" s="28">
        <v>10795</v>
      </c>
      <c r="B168" s="28" t="s">
        <v>1281</v>
      </c>
      <c r="C168" s="28" t="s">
        <v>1282</v>
      </c>
      <c r="D168" s="28" t="s">
        <v>462</v>
      </c>
      <c r="E168" s="28" t="s">
        <v>1283</v>
      </c>
      <c r="F168" s="28" t="s">
        <v>1284</v>
      </c>
      <c r="G168" s="28" t="s">
        <v>465</v>
      </c>
    </row>
    <row r="169" spans="1:7">
      <c r="A169" s="28">
        <v>10804</v>
      </c>
      <c r="B169" s="28" t="s">
        <v>1285</v>
      </c>
      <c r="C169" s="28" t="s">
        <v>1286</v>
      </c>
      <c r="D169" s="28" t="s">
        <v>462</v>
      </c>
      <c r="E169" s="28" t="s">
        <v>1287</v>
      </c>
      <c r="F169" s="28" t="s">
        <v>1288</v>
      </c>
      <c r="G169" s="28" t="s">
        <v>465</v>
      </c>
    </row>
    <row r="170" spans="1:7">
      <c r="A170" s="28">
        <v>10808</v>
      </c>
      <c r="B170" s="28" t="s">
        <v>941</v>
      </c>
      <c r="C170" s="28" t="s">
        <v>1289</v>
      </c>
      <c r="D170" s="28" t="s">
        <v>462</v>
      </c>
      <c r="E170" s="28" t="s">
        <v>1290</v>
      </c>
      <c r="F170" s="28" t="s">
        <v>1291</v>
      </c>
      <c r="G170" s="28" t="s">
        <v>465</v>
      </c>
    </row>
    <row r="171" spans="1:7">
      <c r="A171" s="28">
        <v>10814</v>
      </c>
      <c r="B171" s="28" t="s">
        <v>1292</v>
      </c>
      <c r="C171" s="28" t="s">
        <v>1293</v>
      </c>
      <c r="D171" s="28" t="s">
        <v>462</v>
      </c>
      <c r="E171" s="28" t="s">
        <v>1294</v>
      </c>
      <c r="F171" s="28" t="s">
        <v>1295</v>
      </c>
      <c r="G171" s="28" t="s">
        <v>465</v>
      </c>
    </row>
    <row r="172" spans="1:7">
      <c r="A172" s="28">
        <v>10815</v>
      </c>
      <c r="B172" s="28" t="s">
        <v>1296</v>
      </c>
      <c r="C172" s="28" t="s">
        <v>1297</v>
      </c>
      <c r="D172" s="28" t="s">
        <v>462</v>
      </c>
      <c r="E172" s="28" t="s">
        <v>1298</v>
      </c>
      <c r="F172" s="28" t="s">
        <v>1299</v>
      </c>
      <c r="G172" s="28" t="s">
        <v>465</v>
      </c>
    </row>
    <row r="173" spans="1:7">
      <c r="A173" s="28">
        <v>10837</v>
      </c>
      <c r="B173" s="28" t="s">
        <v>1300</v>
      </c>
      <c r="C173" s="28" t="s">
        <v>1301</v>
      </c>
      <c r="D173" s="28" t="s">
        <v>462</v>
      </c>
      <c r="E173" s="28" t="s">
        <v>1302</v>
      </c>
      <c r="F173" s="28" t="s">
        <v>1303</v>
      </c>
      <c r="G173" s="28" t="s">
        <v>465</v>
      </c>
    </row>
    <row r="174" spans="1:7">
      <c r="A174" s="28">
        <v>10849</v>
      </c>
      <c r="B174" s="28" t="s">
        <v>640</v>
      </c>
      <c r="C174" s="28" t="s">
        <v>961</v>
      </c>
      <c r="D174" s="28" t="s">
        <v>462</v>
      </c>
      <c r="E174" s="28" t="s">
        <v>1304</v>
      </c>
      <c r="F174" s="28" t="s">
        <v>1305</v>
      </c>
      <c r="G174" s="28" t="s">
        <v>465</v>
      </c>
    </row>
    <row r="175" spans="1:7">
      <c r="A175" s="28">
        <v>10852</v>
      </c>
      <c r="B175" s="28" t="s">
        <v>1306</v>
      </c>
      <c r="C175" s="28" t="s">
        <v>1307</v>
      </c>
      <c r="D175" s="28" t="s">
        <v>462</v>
      </c>
      <c r="E175" s="28" t="s">
        <v>1308</v>
      </c>
      <c r="F175" s="28" t="s">
        <v>1309</v>
      </c>
      <c r="G175" s="28" t="s">
        <v>465</v>
      </c>
    </row>
    <row r="176" spans="1:7">
      <c r="A176" s="28">
        <v>10856</v>
      </c>
      <c r="B176" s="28" t="s">
        <v>1310</v>
      </c>
      <c r="C176" s="28" t="s">
        <v>1311</v>
      </c>
      <c r="D176" s="28" t="s">
        <v>462</v>
      </c>
      <c r="E176" s="28" t="s">
        <v>1312</v>
      </c>
      <c r="F176" s="28" t="s">
        <v>1313</v>
      </c>
      <c r="G176" s="28" t="s">
        <v>465</v>
      </c>
    </row>
    <row r="177" spans="1:7">
      <c r="A177" s="28">
        <v>10864</v>
      </c>
      <c r="B177" s="28" t="s">
        <v>1314</v>
      </c>
      <c r="C177" s="28" t="s">
        <v>1315</v>
      </c>
      <c r="D177" s="28" t="s">
        <v>462</v>
      </c>
      <c r="E177" s="28" t="s">
        <v>1316</v>
      </c>
      <c r="F177" s="28" t="s">
        <v>1317</v>
      </c>
      <c r="G177" s="28" t="s">
        <v>465</v>
      </c>
    </row>
    <row r="178" spans="1:7">
      <c r="A178" s="28">
        <v>10871</v>
      </c>
      <c r="B178" s="28" t="s">
        <v>1318</v>
      </c>
      <c r="C178" s="28" t="s">
        <v>1319</v>
      </c>
      <c r="D178" s="28" t="s">
        <v>462</v>
      </c>
      <c r="E178" s="28" t="s">
        <v>1320</v>
      </c>
      <c r="F178" s="28" t="s">
        <v>1321</v>
      </c>
      <c r="G178" s="28" t="s">
        <v>465</v>
      </c>
    </row>
    <row r="179" spans="1:7">
      <c r="A179" s="28">
        <v>10874</v>
      </c>
      <c r="B179" s="28" t="s">
        <v>1322</v>
      </c>
      <c r="C179" s="28" t="s">
        <v>1323</v>
      </c>
      <c r="D179" s="28" t="s">
        <v>462</v>
      </c>
      <c r="E179" s="28" t="s">
        <v>1324</v>
      </c>
      <c r="F179" s="28" t="s">
        <v>1325</v>
      </c>
      <c r="G179" s="28" t="s">
        <v>465</v>
      </c>
    </row>
    <row r="180" spans="1:7">
      <c r="A180" s="28">
        <v>10878</v>
      </c>
      <c r="B180" s="28" t="s">
        <v>684</v>
      </c>
      <c r="C180" s="28" t="s">
        <v>183</v>
      </c>
      <c r="D180" s="28" t="s">
        <v>462</v>
      </c>
      <c r="E180" s="28" t="s">
        <v>1326</v>
      </c>
      <c r="F180" s="28" t="s">
        <v>1327</v>
      </c>
      <c r="G180" s="28" t="s">
        <v>465</v>
      </c>
    </row>
    <row r="181" spans="1:7">
      <c r="A181" s="28">
        <v>10881</v>
      </c>
      <c r="B181" s="28" t="s">
        <v>1328</v>
      </c>
      <c r="C181" s="28" t="s">
        <v>1329</v>
      </c>
      <c r="D181" s="28" t="s">
        <v>462</v>
      </c>
      <c r="E181" s="28" t="s">
        <v>1330</v>
      </c>
      <c r="F181" s="28" t="s">
        <v>1331</v>
      </c>
      <c r="G181" s="28" t="s">
        <v>465</v>
      </c>
    </row>
    <row r="182" spans="1:7">
      <c r="A182" s="28">
        <v>10886</v>
      </c>
      <c r="B182" s="28" t="s">
        <v>1332</v>
      </c>
      <c r="C182" s="28" t="s">
        <v>1333</v>
      </c>
      <c r="D182" s="28" t="s">
        <v>462</v>
      </c>
      <c r="E182" s="28" t="s">
        <v>1334</v>
      </c>
      <c r="F182" s="28" t="s">
        <v>1335</v>
      </c>
      <c r="G182" s="28" t="s">
        <v>465</v>
      </c>
    </row>
    <row r="183" spans="1:7">
      <c r="A183" s="28">
        <v>10892</v>
      </c>
      <c r="B183" s="28" t="s">
        <v>1336</v>
      </c>
      <c r="C183" s="28" t="s">
        <v>1337</v>
      </c>
      <c r="D183" s="28" t="s">
        <v>462</v>
      </c>
      <c r="E183" s="28" t="s">
        <v>1338</v>
      </c>
      <c r="F183" s="28" t="s">
        <v>1339</v>
      </c>
      <c r="G183" s="28" t="s">
        <v>465</v>
      </c>
    </row>
    <row r="184" spans="1:7">
      <c r="A184" s="28">
        <v>10897</v>
      </c>
      <c r="B184" s="28" t="s">
        <v>1340</v>
      </c>
      <c r="C184" s="28" t="s">
        <v>1341</v>
      </c>
      <c r="D184" s="28" t="s">
        <v>462</v>
      </c>
      <c r="E184" s="28" t="s">
        <v>1342</v>
      </c>
      <c r="F184" s="28" t="s">
        <v>1343</v>
      </c>
      <c r="G184" s="28" t="s">
        <v>465</v>
      </c>
    </row>
    <row r="185" spans="1:7">
      <c r="A185" s="28">
        <v>10908</v>
      </c>
      <c r="B185" s="28" t="s">
        <v>1344</v>
      </c>
      <c r="C185" s="28" t="s">
        <v>1345</v>
      </c>
      <c r="D185" s="28" t="s">
        <v>462</v>
      </c>
      <c r="E185" s="28" t="s">
        <v>1346</v>
      </c>
      <c r="F185" s="28" t="s">
        <v>1347</v>
      </c>
      <c r="G185" s="28" t="s">
        <v>465</v>
      </c>
    </row>
    <row r="186" spans="1:7">
      <c r="A186" s="28">
        <v>10909</v>
      </c>
      <c r="B186" s="28" t="s">
        <v>1348</v>
      </c>
      <c r="C186" s="28" t="s">
        <v>1349</v>
      </c>
      <c r="D186" s="28" t="s">
        <v>462</v>
      </c>
      <c r="E186" s="28" t="s">
        <v>1350</v>
      </c>
      <c r="F186" s="28" t="s">
        <v>1351</v>
      </c>
      <c r="G186" s="28" t="s">
        <v>465</v>
      </c>
    </row>
    <row r="187" spans="1:7">
      <c r="A187" s="28">
        <v>10911</v>
      </c>
      <c r="B187" s="28" t="s">
        <v>1352</v>
      </c>
      <c r="C187" s="28" t="s">
        <v>1353</v>
      </c>
      <c r="D187" s="28" t="s">
        <v>462</v>
      </c>
      <c r="E187" s="28" t="s">
        <v>1354</v>
      </c>
      <c r="F187" s="28" t="s">
        <v>1355</v>
      </c>
      <c r="G187" s="28" t="s">
        <v>465</v>
      </c>
    </row>
    <row r="188" spans="1:7">
      <c r="A188" s="28">
        <v>10912</v>
      </c>
      <c r="B188" s="28" t="s">
        <v>1356</v>
      </c>
      <c r="C188" s="28" t="s">
        <v>1357</v>
      </c>
      <c r="D188" s="28" t="s">
        <v>462</v>
      </c>
      <c r="E188" s="28" t="s">
        <v>1358</v>
      </c>
      <c r="F188" s="28" t="s">
        <v>1359</v>
      </c>
      <c r="G188" s="28" t="s">
        <v>465</v>
      </c>
    </row>
    <row r="189" spans="1:7">
      <c r="A189" s="28">
        <v>10917</v>
      </c>
      <c r="B189" s="28" t="s">
        <v>1360</v>
      </c>
      <c r="C189" s="28" t="s">
        <v>1361</v>
      </c>
      <c r="D189" s="28" t="s">
        <v>462</v>
      </c>
      <c r="E189" s="28" t="s">
        <v>1362</v>
      </c>
      <c r="F189" s="28" t="s">
        <v>1363</v>
      </c>
      <c r="G189" s="28" t="s">
        <v>465</v>
      </c>
    </row>
    <row r="190" spans="1:7">
      <c r="A190" s="28">
        <v>10920</v>
      </c>
      <c r="B190" s="28" t="s">
        <v>804</v>
      </c>
      <c r="C190" s="28" t="s">
        <v>1364</v>
      </c>
      <c r="D190" s="28" t="s">
        <v>462</v>
      </c>
      <c r="E190" s="28" t="s">
        <v>1365</v>
      </c>
      <c r="F190" s="28" t="s">
        <v>1366</v>
      </c>
      <c r="G190" s="28" t="s">
        <v>465</v>
      </c>
    </row>
    <row r="191" spans="1:7">
      <c r="A191" s="28">
        <v>10929</v>
      </c>
      <c r="B191" s="28" t="s">
        <v>1367</v>
      </c>
      <c r="C191" s="28" t="s">
        <v>1368</v>
      </c>
      <c r="D191" s="28" t="s">
        <v>462</v>
      </c>
      <c r="E191" s="28" t="s">
        <v>1369</v>
      </c>
      <c r="F191" s="28" t="s">
        <v>1370</v>
      </c>
      <c r="G191" s="28" t="s">
        <v>465</v>
      </c>
    </row>
    <row r="192" spans="1:7">
      <c r="A192" s="28">
        <v>10930</v>
      </c>
      <c r="B192" s="28" t="s">
        <v>1371</v>
      </c>
      <c r="C192" s="28" t="s">
        <v>1372</v>
      </c>
      <c r="D192" s="28" t="s">
        <v>462</v>
      </c>
      <c r="E192" s="28" t="s">
        <v>1373</v>
      </c>
      <c r="F192" s="28" t="s">
        <v>1374</v>
      </c>
      <c r="G192" s="28" t="s">
        <v>465</v>
      </c>
    </row>
    <row r="193" spans="1:7">
      <c r="A193" s="28">
        <v>10931</v>
      </c>
      <c r="B193" s="28" t="s">
        <v>1375</v>
      </c>
      <c r="C193" s="28" t="s">
        <v>1376</v>
      </c>
      <c r="D193" s="28" t="s">
        <v>462</v>
      </c>
      <c r="E193" s="28" t="s">
        <v>1377</v>
      </c>
      <c r="F193" s="28" t="s">
        <v>1378</v>
      </c>
      <c r="G193" s="28" t="s">
        <v>465</v>
      </c>
    </row>
    <row r="194" spans="1:7">
      <c r="A194" s="28">
        <v>10933</v>
      </c>
      <c r="B194" s="28" t="s">
        <v>1379</v>
      </c>
      <c r="C194" s="28" t="s">
        <v>1380</v>
      </c>
      <c r="D194" s="28" t="s">
        <v>462</v>
      </c>
      <c r="E194" s="28" t="s">
        <v>1381</v>
      </c>
      <c r="F194" s="28" t="s">
        <v>1382</v>
      </c>
      <c r="G194" s="28" t="s">
        <v>465</v>
      </c>
    </row>
    <row r="195" spans="1:7">
      <c r="A195" s="28">
        <v>10935</v>
      </c>
      <c r="B195" s="28" t="s">
        <v>1383</v>
      </c>
      <c r="C195" s="28" t="s">
        <v>1384</v>
      </c>
      <c r="D195" s="28" t="s">
        <v>462</v>
      </c>
      <c r="E195" s="28" t="s">
        <v>1385</v>
      </c>
      <c r="F195" s="28" t="s">
        <v>1386</v>
      </c>
      <c r="G195" s="28" t="s">
        <v>465</v>
      </c>
    </row>
    <row r="196" spans="1:7">
      <c r="A196" s="28">
        <v>10936</v>
      </c>
      <c r="B196" s="28" t="s">
        <v>1387</v>
      </c>
      <c r="C196" s="28" t="s">
        <v>1388</v>
      </c>
      <c r="D196" s="28" t="s">
        <v>462</v>
      </c>
      <c r="E196" s="28" t="s">
        <v>1389</v>
      </c>
      <c r="F196" s="28" t="s">
        <v>1390</v>
      </c>
      <c r="G196" s="28" t="s">
        <v>465</v>
      </c>
    </row>
    <row r="197" spans="1:7">
      <c r="A197" s="28">
        <v>10938</v>
      </c>
      <c r="B197" s="28" t="s">
        <v>1391</v>
      </c>
      <c r="C197" s="28" t="s">
        <v>1392</v>
      </c>
      <c r="D197" s="28" t="s">
        <v>462</v>
      </c>
      <c r="E197" s="28" t="s">
        <v>1393</v>
      </c>
      <c r="F197" s="28" t="s">
        <v>1394</v>
      </c>
      <c r="G197" s="28" t="s">
        <v>465</v>
      </c>
    </row>
    <row r="198" spans="1:7">
      <c r="A198" s="28">
        <v>10940</v>
      </c>
      <c r="B198" s="28" t="s">
        <v>788</v>
      </c>
      <c r="C198" s="28" t="s">
        <v>1395</v>
      </c>
      <c r="D198" s="28" t="s">
        <v>462</v>
      </c>
      <c r="E198" s="28" t="s">
        <v>1396</v>
      </c>
      <c r="F198" s="28" t="s">
        <v>1397</v>
      </c>
      <c r="G198" s="28" t="s">
        <v>465</v>
      </c>
    </row>
    <row r="199" spans="1:7">
      <c r="A199" s="28">
        <v>10943</v>
      </c>
      <c r="B199" s="28" t="s">
        <v>1258</v>
      </c>
      <c r="C199" s="28" t="s">
        <v>1398</v>
      </c>
      <c r="D199" s="28" t="s">
        <v>462</v>
      </c>
      <c r="E199" s="28" t="s">
        <v>1399</v>
      </c>
      <c r="F199" s="28" t="s">
        <v>1400</v>
      </c>
      <c r="G199" s="28" t="s">
        <v>465</v>
      </c>
    </row>
    <row r="200" spans="1:7">
      <c r="A200" s="28">
        <v>10946</v>
      </c>
      <c r="B200" s="28" t="s">
        <v>1401</v>
      </c>
      <c r="C200" s="28" t="s">
        <v>1402</v>
      </c>
      <c r="D200" s="28" t="s">
        <v>462</v>
      </c>
      <c r="E200" s="28" t="s">
        <v>1403</v>
      </c>
      <c r="F200" s="28" t="s">
        <v>1404</v>
      </c>
      <c r="G200" s="28" t="s">
        <v>465</v>
      </c>
    </row>
    <row r="201" spans="1:7">
      <c r="A201" s="28">
        <v>10947</v>
      </c>
      <c r="B201" s="28" t="s">
        <v>1405</v>
      </c>
      <c r="C201" s="28" t="s">
        <v>1406</v>
      </c>
      <c r="D201" s="28" t="s">
        <v>462</v>
      </c>
      <c r="E201" s="28" t="s">
        <v>1407</v>
      </c>
      <c r="F201" s="28" t="s">
        <v>1408</v>
      </c>
      <c r="G201" s="28" t="s">
        <v>465</v>
      </c>
    </row>
    <row r="202" spans="1:7">
      <c r="A202" s="28">
        <v>10950</v>
      </c>
      <c r="B202" s="28" t="s">
        <v>1409</v>
      </c>
      <c r="C202" s="28" t="s">
        <v>1410</v>
      </c>
      <c r="D202" s="28" t="s">
        <v>462</v>
      </c>
      <c r="E202" s="28" t="s">
        <v>1411</v>
      </c>
      <c r="F202" s="28" t="s">
        <v>1412</v>
      </c>
      <c r="G202" s="28" t="s">
        <v>465</v>
      </c>
    </row>
    <row r="203" spans="1:7">
      <c r="A203" s="28">
        <v>10954</v>
      </c>
      <c r="B203" s="28" t="s">
        <v>858</v>
      </c>
      <c r="C203" s="28" t="s">
        <v>1413</v>
      </c>
      <c r="D203" s="28" t="s">
        <v>462</v>
      </c>
      <c r="E203" s="28" t="s">
        <v>1414</v>
      </c>
      <c r="F203" s="28" t="s">
        <v>1415</v>
      </c>
      <c r="G203" s="28" t="s">
        <v>465</v>
      </c>
    </row>
    <row r="204" spans="1:7">
      <c r="A204" s="28">
        <v>10955</v>
      </c>
      <c r="B204" s="28" t="s">
        <v>784</v>
      </c>
      <c r="C204" s="28" t="s">
        <v>1416</v>
      </c>
      <c r="D204" s="28" t="s">
        <v>462</v>
      </c>
      <c r="E204" s="28" t="s">
        <v>1417</v>
      </c>
      <c r="F204" s="28" t="s">
        <v>1418</v>
      </c>
      <c r="G204" s="28" t="s">
        <v>465</v>
      </c>
    </row>
    <row r="205" spans="1:7">
      <c r="A205" s="28">
        <v>10958</v>
      </c>
      <c r="B205" s="28" t="s">
        <v>1419</v>
      </c>
      <c r="C205" s="28" t="s">
        <v>1420</v>
      </c>
      <c r="D205" s="28" t="s">
        <v>462</v>
      </c>
      <c r="E205" s="28" t="s">
        <v>1421</v>
      </c>
      <c r="F205" s="28" t="s">
        <v>1422</v>
      </c>
      <c r="G205" s="28" t="s">
        <v>465</v>
      </c>
    </row>
    <row r="206" spans="1:7">
      <c r="A206" s="28">
        <v>10960</v>
      </c>
      <c r="B206" s="28" t="s">
        <v>1423</v>
      </c>
      <c r="C206" s="28" t="s">
        <v>1424</v>
      </c>
      <c r="D206" s="28" t="s">
        <v>462</v>
      </c>
      <c r="E206" s="28" t="s">
        <v>1425</v>
      </c>
      <c r="F206" s="28" t="s">
        <v>1426</v>
      </c>
      <c r="G206" s="28" t="s">
        <v>465</v>
      </c>
    </row>
    <row r="207" spans="1:7">
      <c r="A207" s="28">
        <v>10962</v>
      </c>
      <c r="B207" s="28" t="s">
        <v>1391</v>
      </c>
      <c r="C207" s="28" t="s">
        <v>658</v>
      </c>
      <c r="D207" s="28" t="s">
        <v>462</v>
      </c>
      <c r="E207" s="28" t="s">
        <v>1427</v>
      </c>
      <c r="F207" s="28" t="s">
        <v>1428</v>
      </c>
      <c r="G207" s="28" t="s">
        <v>465</v>
      </c>
    </row>
    <row r="208" spans="1:7">
      <c r="A208" s="28">
        <v>10963</v>
      </c>
      <c r="B208" s="28" t="s">
        <v>1429</v>
      </c>
      <c r="C208" s="28" t="s">
        <v>1430</v>
      </c>
      <c r="D208" s="28" t="s">
        <v>462</v>
      </c>
      <c r="E208" s="28" t="s">
        <v>1431</v>
      </c>
      <c r="F208" s="28" t="s">
        <v>1432</v>
      </c>
      <c r="G208" s="28" t="s">
        <v>465</v>
      </c>
    </row>
    <row r="209" spans="1:7">
      <c r="A209" s="28">
        <v>10965</v>
      </c>
      <c r="B209" s="28" t="s">
        <v>1433</v>
      </c>
      <c r="C209" s="28" t="s">
        <v>1434</v>
      </c>
      <c r="D209" s="28" t="s">
        <v>462</v>
      </c>
      <c r="E209" s="28" t="s">
        <v>1435</v>
      </c>
      <c r="F209" s="28" t="s">
        <v>1436</v>
      </c>
      <c r="G209" s="28" t="s">
        <v>465</v>
      </c>
    </row>
    <row r="210" spans="1:7">
      <c r="A210" s="28">
        <v>10972</v>
      </c>
      <c r="B210" s="28" t="s">
        <v>1387</v>
      </c>
      <c r="C210" s="28" t="s">
        <v>1437</v>
      </c>
      <c r="D210" s="28" t="s">
        <v>462</v>
      </c>
      <c r="E210" s="28" t="s">
        <v>1438</v>
      </c>
      <c r="F210" s="28" t="s">
        <v>1439</v>
      </c>
      <c r="G210" s="28" t="s">
        <v>465</v>
      </c>
    </row>
    <row r="211" spans="1:7">
      <c r="A211" s="28">
        <v>10973</v>
      </c>
      <c r="B211" s="28" t="s">
        <v>1440</v>
      </c>
      <c r="C211" s="28" t="s">
        <v>1441</v>
      </c>
      <c r="D211" s="28" t="s">
        <v>462</v>
      </c>
      <c r="E211" s="28" t="s">
        <v>1442</v>
      </c>
      <c r="F211" s="28" t="s">
        <v>1443</v>
      </c>
      <c r="G211" s="28" t="s">
        <v>465</v>
      </c>
    </row>
    <row r="212" spans="1:7">
      <c r="A212" s="28">
        <v>10982</v>
      </c>
      <c r="B212" s="28" t="s">
        <v>1444</v>
      </c>
      <c r="C212" s="28" t="s">
        <v>1445</v>
      </c>
      <c r="D212" s="28" t="s">
        <v>462</v>
      </c>
      <c r="E212" s="28" t="s">
        <v>1446</v>
      </c>
      <c r="F212" s="28" t="s">
        <v>1447</v>
      </c>
      <c r="G212" s="28" t="s">
        <v>465</v>
      </c>
    </row>
    <row r="213" spans="1:7">
      <c r="A213" s="28">
        <v>10987</v>
      </c>
      <c r="B213" s="28" t="s">
        <v>1448</v>
      </c>
      <c r="C213" s="28" t="s">
        <v>1433</v>
      </c>
      <c r="D213" s="28" t="s">
        <v>462</v>
      </c>
      <c r="E213" s="28" t="s">
        <v>1449</v>
      </c>
      <c r="F213" s="28" t="s">
        <v>1450</v>
      </c>
      <c r="G213" s="28" t="s">
        <v>465</v>
      </c>
    </row>
    <row r="214" spans="1:7">
      <c r="A214" s="28">
        <v>10989</v>
      </c>
      <c r="B214" s="28" t="s">
        <v>1451</v>
      </c>
      <c r="C214" s="28" t="s">
        <v>1452</v>
      </c>
      <c r="D214" s="28" t="s">
        <v>462</v>
      </c>
      <c r="E214" s="28" t="s">
        <v>1453</v>
      </c>
      <c r="F214" s="28" t="s">
        <v>1454</v>
      </c>
      <c r="G214" s="28" t="s">
        <v>465</v>
      </c>
    </row>
    <row r="215" spans="1:7">
      <c r="A215" s="28">
        <v>10991</v>
      </c>
      <c r="B215" s="28" t="s">
        <v>1455</v>
      </c>
      <c r="C215" s="28" t="s">
        <v>1456</v>
      </c>
      <c r="D215" s="28" t="s">
        <v>462</v>
      </c>
      <c r="E215" s="28" t="s">
        <v>1457</v>
      </c>
      <c r="F215" s="28" t="s">
        <v>1458</v>
      </c>
      <c r="G215" s="28" t="s">
        <v>465</v>
      </c>
    </row>
    <row r="216" spans="1:7">
      <c r="A216" s="28">
        <v>11004</v>
      </c>
      <c r="B216" s="28" t="s">
        <v>1459</v>
      </c>
      <c r="C216" s="28" t="s">
        <v>1460</v>
      </c>
      <c r="D216" s="28" t="s">
        <v>462</v>
      </c>
      <c r="E216" s="28" t="s">
        <v>1461</v>
      </c>
      <c r="F216" s="28" t="s">
        <v>1462</v>
      </c>
      <c r="G216" s="28" t="s">
        <v>465</v>
      </c>
    </row>
    <row r="217" spans="1:7">
      <c r="A217" s="28">
        <v>11005</v>
      </c>
      <c r="B217" s="28" t="s">
        <v>1463</v>
      </c>
      <c r="C217" s="28" t="s">
        <v>1464</v>
      </c>
      <c r="D217" s="28" t="s">
        <v>462</v>
      </c>
      <c r="E217" s="28" t="s">
        <v>1465</v>
      </c>
      <c r="F217" s="28" t="s">
        <v>1466</v>
      </c>
      <c r="G217" s="28" t="s">
        <v>465</v>
      </c>
    </row>
    <row r="218" spans="1:7">
      <c r="A218" s="28">
        <v>11007</v>
      </c>
      <c r="B218" s="28" t="s">
        <v>1046</v>
      </c>
      <c r="C218" s="28" t="s">
        <v>1467</v>
      </c>
      <c r="D218" s="28" t="s">
        <v>462</v>
      </c>
      <c r="E218" s="28" t="s">
        <v>1468</v>
      </c>
      <c r="F218" s="28" t="s">
        <v>1469</v>
      </c>
      <c r="G218" s="28" t="s">
        <v>465</v>
      </c>
    </row>
    <row r="219" spans="1:7">
      <c r="A219" s="28">
        <v>11011</v>
      </c>
      <c r="B219" s="28" t="s">
        <v>1246</v>
      </c>
      <c r="C219" s="28" t="s">
        <v>1470</v>
      </c>
      <c r="D219" s="28" t="s">
        <v>462</v>
      </c>
      <c r="E219" s="28" t="s">
        <v>1471</v>
      </c>
      <c r="F219" s="28" t="s">
        <v>1472</v>
      </c>
      <c r="G219" s="28" t="s">
        <v>465</v>
      </c>
    </row>
    <row r="220" spans="1:7">
      <c r="A220" s="28">
        <v>11022</v>
      </c>
      <c r="B220" s="28" t="s">
        <v>1473</v>
      </c>
      <c r="C220" s="28" t="s">
        <v>1474</v>
      </c>
      <c r="D220" s="28" t="s">
        <v>462</v>
      </c>
      <c r="E220" s="28" t="s">
        <v>1475</v>
      </c>
      <c r="F220" s="28" t="s">
        <v>1476</v>
      </c>
      <c r="G220" s="28" t="s">
        <v>465</v>
      </c>
    </row>
    <row r="221" spans="1:7">
      <c r="A221" s="28">
        <v>11025</v>
      </c>
      <c r="B221" s="28" t="s">
        <v>1477</v>
      </c>
      <c r="C221" s="28" t="s">
        <v>1478</v>
      </c>
      <c r="D221" s="28" t="s">
        <v>462</v>
      </c>
      <c r="E221" s="28" t="s">
        <v>1479</v>
      </c>
      <c r="F221" s="28" t="s">
        <v>1480</v>
      </c>
      <c r="G221" s="28" t="s">
        <v>465</v>
      </c>
    </row>
    <row r="222" spans="1:7">
      <c r="A222" s="28">
        <v>11026</v>
      </c>
      <c r="B222" s="28" t="s">
        <v>1481</v>
      </c>
      <c r="C222" s="28" t="s">
        <v>1482</v>
      </c>
      <c r="D222" s="28" t="s">
        <v>462</v>
      </c>
      <c r="E222" s="28" t="s">
        <v>1483</v>
      </c>
      <c r="F222" s="28" t="s">
        <v>1484</v>
      </c>
      <c r="G222" s="28" t="s">
        <v>465</v>
      </c>
    </row>
    <row r="223" spans="1:7">
      <c r="A223" s="28">
        <v>11035</v>
      </c>
      <c r="B223" s="28" t="s">
        <v>1485</v>
      </c>
      <c r="C223" s="28" t="s">
        <v>1486</v>
      </c>
      <c r="D223" s="28" t="s">
        <v>462</v>
      </c>
      <c r="E223" s="28" t="s">
        <v>1487</v>
      </c>
      <c r="F223" s="28" t="s">
        <v>1488</v>
      </c>
      <c r="G223" s="28" t="s">
        <v>465</v>
      </c>
    </row>
    <row r="224" spans="1:7">
      <c r="A224" s="28">
        <v>11047</v>
      </c>
      <c r="B224" s="28" t="s">
        <v>792</v>
      </c>
      <c r="C224" s="28" t="s">
        <v>1489</v>
      </c>
      <c r="D224" s="28" t="s">
        <v>462</v>
      </c>
      <c r="E224" s="28" t="s">
        <v>1490</v>
      </c>
      <c r="F224" s="28" t="s">
        <v>1491</v>
      </c>
      <c r="G224" s="28" t="s">
        <v>465</v>
      </c>
    </row>
    <row r="225" spans="1:7">
      <c r="A225" s="28">
        <v>11049</v>
      </c>
      <c r="B225" s="28" t="s">
        <v>1046</v>
      </c>
      <c r="C225" s="28" t="s">
        <v>1492</v>
      </c>
      <c r="D225" s="28" t="s">
        <v>462</v>
      </c>
      <c r="E225" s="28" t="s">
        <v>1493</v>
      </c>
      <c r="F225" s="28" t="s">
        <v>1494</v>
      </c>
      <c r="G225" s="28" t="s">
        <v>465</v>
      </c>
    </row>
    <row r="226" spans="1:7">
      <c r="A226" s="28">
        <v>11050</v>
      </c>
      <c r="B226" s="28" t="s">
        <v>732</v>
      </c>
      <c r="C226" s="28" t="s">
        <v>1495</v>
      </c>
      <c r="D226" s="28" t="s">
        <v>462</v>
      </c>
      <c r="E226" s="28" t="s">
        <v>1496</v>
      </c>
      <c r="F226" s="28" t="s">
        <v>1497</v>
      </c>
      <c r="G226" s="28" t="s">
        <v>465</v>
      </c>
    </row>
    <row r="227" spans="1:7">
      <c r="A227" s="28">
        <v>11052</v>
      </c>
      <c r="B227" s="28" t="s">
        <v>1310</v>
      </c>
      <c r="C227" s="28" t="s">
        <v>467</v>
      </c>
      <c r="D227" s="28" t="s">
        <v>462</v>
      </c>
      <c r="E227" s="28" t="s">
        <v>1498</v>
      </c>
      <c r="F227" s="28" t="s">
        <v>1499</v>
      </c>
      <c r="G227" s="28" t="s">
        <v>465</v>
      </c>
    </row>
    <row r="228" spans="1:7">
      <c r="A228" s="28">
        <v>11053</v>
      </c>
      <c r="B228" s="28" t="s">
        <v>1500</v>
      </c>
      <c r="C228" s="28" t="s">
        <v>1501</v>
      </c>
      <c r="D228" s="28" t="s">
        <v>462</v>
      </c>
      <c r="E228" s="28" t="s">
        <v>1502</v>
      </c>
      <c r="F228" s="28" t="s">
        <v>1503</v>
      </c>
      <c r="G228" s="28" t="s">
        <v>465</v>
      </c>
    </row>
    <row r="229" spans="1:7">
      <c r="A229" s="28">
        <v>11068</v>
      </c>
      <c r="B229" s="28" t="s">
        <v>1504</v>
      </c>
      <c r="C229" s="28" t="s">
        <v>1505</v>
      </c>
      <c r="D229" s="28" t="s">
        <v>462</v>
      </c>
      <c r="E229" s="28" t="s">
        <v>1506</v>
      </c>
      <c r="F229" s="28" t="s">
        <v>1507</v>
      </c>
      <c r="G229" s="28" t="s">
        <v>465</v>
      </c>
    </row>
    <row r="230" spans="1:7">
      <c r="A230" s="28">
        <v>11069</v>
      </c>
      <c r="B230" s="28" t="s">
        <v>1508</v>
      </c>
      <c r="C230" s="28" t="s">
        <v>1509</v>
      </c>
      <c r="D230" s="28" t="s">
        <v>462</v>
      </c>
      <c r="E230" s="28" t="s">
        <v>1510</v>
      </c>
      <c r="F230" s="28" t="s">
        <v>1511</v>
      </c>
      <c r="G230" s="28" t="s">
        <v>465</v>
      </c>
    </row>
    <row r="231" spans="1:7">
      <c r="A231" s="28">
        <v>11083</v>
      </c>
      <c r="B231" s="28" t="s">
        <v>1512</v>
      </c>
      <c r="C231" s="28" t="s">
        <v>1513</v>
      </c>
      <c r="D231" s="28" t="s">
        <v>462</v>
      </c>
      <c r="E231" s="28" t="s">
        <v>1514</v>
      </c>
      <c r="F231" s="28" t="s">
        <v>1515</v>
      </c>
      <c r="G231" s="28" t="s">
        <v>465</v>
      </c>
    </row>
    <row r="232" spans="1:7">
      <c r="A232" s="28">
        <v>11086</v>
      </c>
      <c r="B232" s="28" t="s">
        <v>1516</v>
      </c>
      <c r="C232" s="28" t="s">
        <v>1224</v>
      </c>
      <c r="D232" s="28" t="s">
        <v>462</v>
      </c>
      <c r="E232" s="28" t="s">
        <v>1517</v>
      </c>
      <c r="F232" s="28" t="s">
        <v>1518</v>
      </c>
      <c r="G232" s="28" t="s">
        <v>465</v>
      </c>
    </row>
    <row r="233" spans="1:7">
      <c r="A233" s="28">
        <v>11090</v>
      </c>
      <c r="B233" s="28" t="s">
        <v>470</v>
      </c>
      <c r="C233" s="28" t="s">
        <v>1519</v>
      </c>
      <c r="D233" s="28" t="s">
        <v>462</v>
      </c>
      <c r="E233" s="28" t="s">
        <v>1520</v>
      </c>
      <c r="F233" s="28" t="s">
        <v>1521</v>
      </c>
      <c r="G233" s="28" t="s">
        <v>465</v>
      </c>
    </row>
    <row r="234" spans="1:7">
      <c r="A234" s="28">
        <v>11093</v>
      </c>
      <c r="B234" s="28" t="s">
        <v>1300</v>
      </c>
      <c r="C234" s="28" t="s">
        <v>1522</v>
      </c>
      <c r="D234" s="28" t="s">
        <v>462</v>
      </c>
      <c r="E234" s="28" t="s">
        <v>1523</v>
      </c>
      <c r="F234" s="28" t="s">
        <v>1524</v>
      </c>
      <c r="G234" s="28" t="s">
        <v>465</v>
      </c>
    </row>
    <row r="235" spans="1:7">
      <c r="A235" s="28">
        <v>11097</v>
      </c>
      <c r="B235" s="28" t="s">
        <v>506</v>
      </c>
      <c r="C235" s="28" t="s">
        <v>1525</v>
      </c>
      <c r="D235" s="28" t="s">
        <v>462</v>
      </c>
      <c r="E235" s="28" t="s">
        <v>1526</v>
      </c>
      <c r="F235" s="28" t="s">
        <v>1527</v>
      </c>
      <c r="G235" s="28" t="s">
        <v>465</v>
      </c>
    </row>
    <row r="236" spans="1:7">
      <c r="A236" s="28">
        <v>11103</v>
      </c>
      <c r="B236" s="28" t="s">
        <v>1528</v>
      </c>
      <c r="C236" s="28" t="s">
        <v>658</v>
      </c>
      <c r="D236" s="28" t="s">
        <v>462</v>
      </c>
      <c r="E236" s="28" t="s">
        <v>1529</v>
      </c>
      <c r="F236" s="28" t="s">
        <v>1530</v>
      </c>
      <c r="G236" s="28" t="s">
        <v>465</v>
      </c>
    </row>
    <row r="237" spans="1:7">
      <c r="A237" s="28">
        <v>11104</v>
      </c>
      <c r="B237" s="28" t="s">
        <v>1531</v>
      </c>
      <c r="C237" s="28" t="s">
        <v>1532</v>
      </c>
      <c r="D237" s="28" t="s">
        <v>462</v>
      </c>
      <c r="E237" s="28" t="s">
        <v>1533</v>
      </c>
      <c r="F237" s="28" t="s">
        <v>1534</v>
      </c>
      <c r="G237" s="28" t="s">
        <v>465</v>
      </c>
    </row>
    <row r="238" spans="1:7">
      <c r="A238" s="28">
        <v>11107</v>
      </c>
      <c r="B238" s="28" t="s">
        <v>1535</v>
      </c>
      <c r="C238" s="28" t="s">
        <v>1536</v>
      </c>
      <c r="D238" s="28" t="s">
        <v>462</v>
      </c>
      <c r="E238" s="28" t="s">
        <v>1537</v>
      </c>
      <c r="F238" s="28" t="s">
        <v>1538</v>
      </c>
      <c r="G238" s="28" t="s">
        <v>465</v>
      </c>
    </row>
    <row r="239" spans="1:7">
      <c r="A239" s="28">
        <v>11109</v>
      </c>
      <c r="B239" s="28" t="s">
        <v>1539</v>
      </c>
      <c r="C239" s="28" t="s">
        <v>1540</v>
      </c>
      <c r="D239" s="28" t="s">
        <v>462</v>
      </c>
      <c r="E239" s="28" t="s">
        <v>1541</v>
      </c>
      <c r="F239" s="28" t="s">
        <v>1542</v>
      </c>
      <c r="G239" s="28" t="s">
        <v>465</v>
      </c>
    </row>
    <row r="240" spans="1:7">
      <c r="A240" s="28">
        <v>11111</v>
      </c>
      <c r="B240" s="28" t="s">
        <v>1543</v>
      </c>
      <c r="C240" s="28" t="s">
        <v>1544</v>
      </c>
      <c r="D240" s="28" t="s">
        <v>462</v>
      </c>
      <c r="E240" s="28" t="s">
        <v>1545</v>
      </c>
      <c r="F240" s="28" t="s">
        <v>1546</v>
      </c>
      <c r="G240" s="28" t="s">
        <v>465</v>
      </c>
    </row>
    <row r="241" spans="1:7">
      <c r="A241" s="28">
        <v>11115</v>
      </c>
      <c r="B241" s="28" t="s">
        <v>885</v>
      </c>
      <c r="C241" s="28" t="s">
        <v>1547</v>
      </c>
      <c r="D241" s="28" t="s">
        <v>462</v>
      </c>
      <c r="E241" s="28" t="s">
        <v>1548</v>
      </c>
      <c r="F241" s="28" t="s">
        <v>1549</v>
      </c>
      <c r="G241" s="28" t="s">
        <v>465</v>
      </c>
    </row>
    <row r="242" spans="1:7">
      <c r="A242" s="28">
        <v>11116</v>
      </c>
      <c r="B242" s="28" t="s">
        <v>1010</v>
      </c>
      <c r="C242" s="28" t="s">
        <v>1550</v>
      </c>
      <c r="D242" s="28" t="s">
        <v>462</v>
      </c>
      <c r="E242" s="28" t="s">
        <v>1551</v>
      </c>
      <c r="F242" s="28" t="s">
        <v>1552</v>
      </c>
      <c r="G242" s="28" t="s">
        <v>465</v>
      </c>
    </row>
    <row r="243" spans="1:7">
      <c r="A243" s="28">
        <v>11117</v>
      </c>
      <c r="B243" s="28" t="s">
        <v>784</v>
      </c>
      <c r="C243" s="28" t="s">
        <v>1553</v>
      </c>
      <c r="D243" s="28" t="s">
        <v>462</v>
      </c>
      <c r="E243" s="28" t="s">
        <v>1554</v>
      </c>
      <c r="F243" s="28" t="s">
        <v>1555</v>
      </c>
      <c r="G243" s="28" t="s">
        <v>465</v>
      </c>
    </row>
    <row r="244" spans="1:7">
      <c r="A244" s="28">
        <v>11125</v>
      </c>
      <c r="B244" s="28" t="s">
        <v>1556</v>
      </c>
      <c r="C244" s="28" t="s">
        <v>1557</v>
      </c>
      <c r="D244" s="28" t="s">
        <v>462</v>
      </c>
      <c r="E244" s="28" t="s">
        <v>1558</v>
      </c>
      <c r="F244" s="28" t="s">
        <v>1559</v>
      </c>
      <c r="G244" s="28" t="s">
        <v>465</v>
      </c>
    </row>
    <row r="245" spans="1:7">
      <c r="A245" s="28">
        <v>11129</v>
      </c>
      <c r="B245" s="28" t="s">
        <v>1560</v>
      </c>
      <c r="C245" s="28" t="s">
        <v>1561</v>
      </c>
      <c r="D245" s="28" t="s">
        <v>462</v>
      </c>
      <c r="E245" s="28" t="s">
        <v>1562</v>
      </c>
      <c r="F245" s="28" t="s">
        <v>1563</v>
      </c>
      <c r="G245" s="28" t="s">
        <v>465</v>
      </c>
    </row>
    <row r="246" spans="1:7">
      <c r="A246" s="28">
        <v>11130</v>
      </c>
      <c r="B246" s="28" t="s">
        <v>1564</v>
      </c>
      <c r="C246" s="28" t="s">
        <v>1565</v>
      </c>
      <c r="D246" s="28" t="s">
        <v>462</v>
      </c>
      <c r="E246" s="28" t="s">
        <v>1566</v>
      </c>
      <c r="F246" s="28" t="s">
        <v>1567</v>
      </c>
      <c r="G246" s="28" t="s">
        <v>465</v>
      </c>
    </row>
    <row r="247" spans="1:7">
      <c r="A247" s="28">
        <v>11131</v>
      </c>
      <c r="B247" s="28" t="s">
        <v>1568</v>
      </c>
      <c r="C247" s="28" t="s">
        <v>1569</v>
      </c>
      <c r="D247" s="28" t="s">
        <v>462</v>
      </c>
      <c r="E247" s="28" t="s">
        <v>1570</v>
      </c>
      <c r="F247" s="28" t="s">
        <v>1571</v>
      </c>
      <c r="G247" s="28" t="s">
        <v>465</v>
      </c>
    </row>
    <row r="248" spans="1:7">
      <c r="A248" s="28">
        <v>11132</v>
      </c>
      <c r="B248" s="28" t="s">
        <v>645</v>
      </c>
      <c r="C248" s="28" t="s">
        <v>1572</v>
      </c>
      <c r="D248" s="28" t="s">
        <v>462</v>
      </c>
      <c r="E248" s="28" t="s">
        <v>1573</v>
      </c>
      <c r="F248" s="28" t="s">
        <v>1574</v>
      </c>
      <c r="G248" s="28" t="s">
        <v>465</v>
      </c>
    </row>
    <row r="249" spans="1:7">
      <c r="A249" s="28">
        <v>11133</v>
      </c>
      <c r="B249" s="28" t="s">
        <v>968</v>
      </c>
      <c r="C249" s="28" t="s">
        <v>1575</v>
      </c>
      <c r="D249" s="28" t="s">
        <v>462</v>
      </c>
      <c r="E249" s="28" t="s">
        <v>1576</v>
      </c>
      <c r="F249" s="28" t="s">
        <v>1577</v>
      </c>
      <c r="G249" s="28" t="s">
        <v>465</v>
      </c>
    </row>
    <row r="250" spans="1:7">
      <c r="A250" s="28">
        <v>11135</v>
      </c>
      <c r="B250" s="28" t="s">
        <v>1578</v>
      </c>
      <c r="C250" s="28" t="s">
        <v>1579</v>
      </c>
      <c r="D250" s="28" t="s">
        <v>462</v>
      </c>
      <c r="E250" s="28" t="s">
        <v>1580</v>
      </c>
      <c r="F250" s="28" t="s">
        <v>1581</v>
      </c>
      <c r="G250" s="28" t="s">
        <v>465</v>
      </c>
    </row>
    <row r="251" spans="1:7">
      <c r="A251" s="28">
        <v>11139</v>
      </c>
      <c r="B251" s="28" t="s">
        <v>1387</v>
      </c>
      <c r="C251" s="28" t="s">
        <v>1047</v>
      </c>
      <c r="D251" s="28" t="s">
        <v>462</v>
      </c>
      <c r="E251" s="28" t="s">
        <v>1048</v>
      </c>
      <c r="F251" s="28" t="s">
        <v>1049</v>
      </c>
      <c r="G251" s="28" t="s">
        <v>465</v>
      </c>
    </row>
    <row r="252" spans="1:7">
      <c r="A252" s="28">
        <v>11142</v>
      </c>
      <c r="B252" s="28" t="s">
        <v>1582</v>
      </c>
      <c r="C252" s="28" t="s">
        <v>1583</v>
      </c>
      <c r="D252" s="28" t="s">
        <v>462</v>
      </c>
      <c r="E252" s="28" t="s">
        <v>1584</v>
      </c>
      <c r="F252" s="28" t="s">
        <v>1585</v>
      </c>
      <c r="G252" s="28" t="s">
        <v>465</v>
      </c>
    </row>
    <row r="253" spans="1:7">
      <c r="A253" s="28">
        <v>11143</v>
      </c>
      <c r="B253" s="28" t="s">
        <v>1586</v>
      </c>
      <c r="C253" s="28" t="s">
        <v>1587</v>
      </c>
      <c r="D253" s="28" t="s">
        <v>462</v>
      </c>
      <c r="E253" s="28" t="s">
        <v>1588</v>
      </c>
      <c r="F253" s="28" t="s">
        <v>1589</v>
      </c>
      <c r="G253" s="28" t="s">
        <v>465</v>
      </c>
    </row>
    <row r="254" spans="1:7">
      <c r="A254" s="28">
        <v>11146</v>
      </c>
      <c r="B254" s="28" t="s">
        <v>1590</v>
      </c>
      <c r="C254" s="28" t="s">
        <v>1591</v>
      </c>
      <c r="D254" s="28" t="s">
        <v>462</v>
      </c>
      <c r="E254" s="28" t="s">
        <v>1592</v>
      </c>
      <c r="F254" s="28" t="s">
        <v>1593</v>
      </c>
      <c r="G254" s="28" t="s">
        <v>465</v>
      </c>
    </row>
    <row r="255" spans="1:7">
      <c r="A255" s="28">
        <v>11152</v>
      </c>
      <c r="B255" s="28" t="s">
        <v>1594</v>
      </c>
      <c r="C255" s="28" t="s">
        <v>1595</v>
      </c>
      <c r="D255" s="28" t="s">
        <v>462</v>
      </c>
      <c r="E255" s="28" t="s">
        <v>1596</v>
      </c>
      <c r="F255" s="28" t="s">
        <v>1597</v>
      </c>
      <c r="G255" s="28" t="s">
        <v>465</v>
      </c>
    </row>
    <row r="256" spans="1:7">
      <c r="A256" s="28">
        <v>11157</v>
      </c>
      <c r="B256" s="28" t="s">
        <v>640</v>
      </c>
      <c r="C256" s="28" t="s">
        <v>1598</v>
      </c>
      <c r="D256" s="28" t="s">
        <v>462</v>
      </c>
      <c r="E256" s="28" t="s">
        <v>1599</v>
      </c>
      <c r="F256" s="28" t="s">
        <v>1600</v>
      </c>
      <c r="G256" s="28" t="s">
        <v>465</v>
      </c>
    </row>
    <row r="257" spans="1:7">
      <c r="A257" s="28">
        <v>11159</v>
      </c>
      <c r="B257" s="28" t="s">
        <v>1601</v>
      </c>
      <c r="C257" s="28" t="s">
        <v>1602</v>
      </c>
      <c r="D257" s="28" t="s">
        <v>462</v>
      </c>
      <c r="E257" s="28" t="s">
        <v>1603</v>
      </c>
      <c r="F257" s="28" t="s">
        <v>1604</v>
      </c>
      <c r="G257" s="28" t="s">
        <v>465</v>
      </c>
    </row>
    <row r="258" spans="1:7">
      <c r="A258" s="28">
        <v>11160</v>
      </c>
      <c r="B258" s="28" t="s">
        <v>1605</v>
      </c>
      <c r="C258" s="28" t="s">
        <v>1606</v>
      </c>
      <c r="D258" s="28" t="s">
        <v>462</v>
      </c>
      <c r="E258" s="28" t="s">
        <v>1607</v>
      </c>
      <c r="F258" s="28" t="s">
        <v>1608</v>
      </c>
      <c r="G258" s="28" t="s">
        <v>465</v>
      </c>
    </row>
    <row r="259" spans="1:7">
      <c r="A259" s="28">
        <v>11161</v>
      </c>
      <c r="B259" s="28" t="s">
        <v>1609</v>
      </c>
      <c r="C259" s="28" t="s">
        <v>1610</v>
      </c>
      <c r="D259" s="28" t="s">
        <v>462</v>
      </c>
      <c r="E259" s="28" t="s">
        <v>1611</v>
      </c>
      <c r="F259" s="28" t="s">
        <v>1612</v>
      </c>
      <c r="G259" s="28" t="s">
        <v>465</v>
      </c>
    </row>
    <row r="260" spans="1:7">
      <c r="A260" s="28">
        <v>11165</v>
      </c>
      <c r="B260" s="28" t="s">
        <v>1300</v>
      </c>
      <c r="C260" s="28" t="s">
        <v>1613</v>
      </c>
      <c r="D260" s="28" t="s">
        <v>462</v>
      </c>
      <c r="E260" s="28" t="s">
        <v>1614</v>
      </c>
      <c r="F260" s="28" t="s">
        <v>1615</v>
      </c>
      <c r="G260" s="28" t="s">
        <v>465</v>
      </c>
    </row>
    <row r="261" spans="1:7">
      <c r="A261" s="28">
        <v>11175</v>
      </c>
      <c r="B261" s="28" t="s">
        <v>1616</v>
      </c>
      <c r="C261" s="28" t="s">
        <v>1617</v>
      </c>
      <c r="D261" s="28" t="s">
        <v>462</v>
      </c>
      <c r="E261" s="28" t="s">
        <v>1618</v>
      </c>
      <c r="F261" s="28" t="s">
        <v>1619</v>
      </c>
      <c r="G261" s="28" t="s">
        <v>465</v>
      </c>
    </row>
    <row r="262" spans="1:7">
      <c r="A262" s="28">
        <v>11176</v>
      </c>
      <c r="B262" s="28" t="s">
        <v>1620</v>
      </c>
      <c r="C262" s="28" t="s">
        <v>1621</v>
      </c>
      <c r="D262" s="28" t="s">
        <v>462</v>
      </c>
      <c r="E262" s="28" t="s">
        <v>1622</v>
      </c>
      <c r="F262" s="28" t="s">
        <v>1623</v>
      </c>
      <c r="G262" s="28" t="s">
        <v>465</v>
      </c>
    </row>
    <row r="263" spans="1:7">
      <c r="A263" s="28">
        <v>11177</v>
      </c>
      <c r="B263" s="28" t="s">
        <v>1528</v>
      </c>
      <c r="C263" s="28" t="s">
        <v>1553</v>
      </c>
      <c r="D263" s="28" t="s">
        <v>462</v>
      </c>
      <c r="E263" s="28" t="s">
        <v>1624</v>
      </c>
      <c r="F263" s="28" t="s">
        <v>1625</v>
      </c>
      <c r="G263" s="28" t="s">
        <v>465</v>
      </c>
    </row>
    <row r="264" spans="1:7">
      <c r="A264" s="28">
        <v>11182</v>
      </c>
      <c r="B264" s="28" t="s">
        <v>1626</v>
      </c>
      <c r="C264" s="28" t="s">
        <v>1627</v>
      </c>
      <c r="D264" s="28" t="s">
        <v>462</v>
      </c>
      <c r="E264" s="28" t="s">
        <v>1628</v>
      </c>
      <c r="F264" s="28" t="s">
        <v>1629</v>
      </c>
      <c r="G264" s="28" t="s">
        <v>465</v>
      </c>
    </row>
    <row r="265" spans="1:7">
      <c r="A265" s="28">
        <v>11183</v>
      </c>
      <c r="B265" s="28" t="s">
        <v>984</v>
      </c>
      <c r="C265" s="28" t="s">
        <v>1630</v>
      </c>
      <c r="D265" s="28" t="s">
        <v>462</v>
      </c>
      <c r="E265" s="28" t="s">
        <v>1631</v>
      </c>
      <c r="F265" s="28" t="s">
        <v>1632</v>
      </c>
      <c r="G265" s="28" t="s">
        <v>465</v>
      </c>
    </row>
    <row r="266" spans="1:7">
      <c r="A266" s="28">
        <v>11184</v>
      </c>
      <c r="B266" s="28" t="s">
        <v>1633</v>
      </c>
      <c r="C266" s="28" t="s">
        <v>1293</v>
      </c>
      <c r="D266" s="28" t="s">
        <v>462</v>
      </c>
      <c r="E266" s="28" t="s">
        <v>1634</v>
      </c>
      <c r="F266" s="28" t="s">
        <v>1635</v>
      </c>
      <c r="G266" s="28" t="s">
        <v>465</v>
      </c>
    </row>
    <row r="267" spans="1:7">
      <c r="A267" s="28">
        <v>11185</v>
      </c>
      <c r="B267" s="28" t="s">
        <v>1636</v>
      </c>
      <c r="C267" s="28" t="s">
        <v>1637</v>
      </c>
      <c r="D267" s="28" t="s">
        <v>462</v>
      </c>
      <c r="E267" s="28" t="s">
        <v>1638</v>
      </c>
      <c r="F267" s="28" t="s">
        <v>1639</v>
      </c>
      <c r="G267" s="28" t="s">
        <v>465</v>
      </c>
    </row>
    <row r="268" spans="1:7">
      <c r="A268" s="28">
        <v>11187</v>
      </c>
      <c r="B268" s="28" t="s">
        <v>1640</v>
      </c>
      <c r="C268" s="28" t="s">
        <v>1641</v>
      </c>
      <c r="D268" s="28" t="s">
        <v>462</v>
      </c>
      <c r="E268" s="28" t="s">
        <v>1642</v>
      </c>
      <c r="F268" s="28" t="s">
        <v>1643</v>
      </c>
      <c r="G268" s="28" t="s">
        <v>465</v>
      </c>
    </row>
    <row r="269" spans="1:7">
      <c r="A269" s="28">
        <v>11190</v>
      </c>
      <c r="B269" s="28" t="s">
        <v>1433</v>
      </c>
      <c r="C269" s="28" t="s">
        <v>1644</v>
      </c>
      <c r="D269" s="28" t="s">
        <v>462</v>
      </c>
      <c r="E269" s="28" t="s">
        <v>1645</v>
      </c>
      <c r="F269" s="28" t="s">
        <v>1646</v>
      </c>
      <c r="G269" s="28" t="s">
        <v>465</v>
      </c>
    </row>
    <row r="270" spans="1:7">
      <c r="A270" s="28">
        <v>11195</v>
      </c>
      <c r="B270" s="28" t="s">
        <v>1647</v>
      </c>
      <c r="C270" s="28" t="s">
        <v>1648</v>
      </c>
      <c r="D270" s="28" t="s">
        <v>462</v>
      </c>
      <c r="E270" s="28" t="s">
        <v>1649</v>
      </c>
      <c r="F270" s="28" t="s">
        <v>1650</v>
      </c>
      <c r="G270" s="28" t="s">
        <v>465</v>
      </c>
    </row>
    <row r="271" spans="1:7">
      <c r="A271" s="28">
        <v>11201</v>
      </c>
      <c r="B271" s="28" t="s">
        <v>1007</v>
      </c>
      <c r="C271" s="28" t="s">
        <v>1651</v>
      </c>
      <c r="D271" s="28" t="s">
        <v>462</v>
      </c>
      <c r="E271" s="28" t="s">
        <v>1652</v>
      </c>
      <c r="F271" s="28" t="s">
        <v>1653</v>
      </c>
      <c r="G271" s="28" t="s">
        <v>465</v>
      </c>
    </row>
    <row r="272" spans="1:7">
      <c r="A272" s="28">
        <v>11212</v>
      </c>
      <c r="B272" s="28" t="s">
        <v>1654</v>
      </c>
      <c r="C272" s="28" t="s">
        <v>1655</v>
      </c>
      <c r="D272" s="28" t="s">
        <v>462</v>
      </c>
      <c r="E272" s="28" t="s">
        <v>1656</v>
      </c>
      <c r="F272" s="28" t="s">
        <v>1657</v>
      </c>
      <c r="G272" s="28" t="s">
        <v>465</v>
      </c>
    </row>
    <row r="273" spans="1:7">
      <c r="A273" s="28">
        <v>11222</v>
      </c>
      <c r="B273" s="28" t="s">
        <v>1310</v>
      </c>
      <c r="C273" s="28" t="s">
        <v>461</v>
      </c>
      <c r="D273" s="28" t="s">
        <v>462</v>
      </c>
      <c r="E273" s="28" t="s">
        <v>1658</v>
      </c>
      <c r="F273" s="28" t="s">
        <v>1659</v>
      </c>
      <c r="G273" s="28" t="s">
        <v>465</v>
      </c>
    </row>
    <row r="274" spans="1:7">
      <c r="A274" s="28">
        <v>11228</v>
      </c>
      <c r="B274" s="28" t="s">
        <v>640</v>
      </c>
      <c r="C274" s="28" t="s">
        <v>1660</v>
      </c>
      <c r="D274" s="28" t="s">
        <v>462</v>
      </c>
      <c r="E274" s="28" t="s">
        <v>1661</v>
      </c>
      <c r="F274" s="28" t="s">
        <v>1662</v>
      </c>
      <c r="G274" s="28" t="s">
        <v>465</v>
      </c>
    </row>
    <row r="275" spans="1:7">
      <c r="A275" s="28">
        <v>11233</v>
      </c>
      <c r="B275" s="28" t="s">
        <v>1663</v>
      </c>
      <c r="C275" s="28" t="s">
        <v>1664</v>
      </c>
      <c r="D275" s="28" t="s">
        <v>462</v>
      </c>
      <c r="E275" s="28" t="s">
        <v>1665</v>
      </c>
      <c r="F275" s="28" t="s">
        <v>1666</v>
      </c>
      <c r="G275" s="28" t="s">
        <v>465</v>
      </c>
    </row>
    <row r="276" spans="1:7">
      <c r="A276" s="28">
        <v>11239</v>
      </c>
      <c r="B276" s="28" t="s">
        <v>1667</v>
      </c>
      <c r="C276" s="28" t="s">
        <v>1668</v>
      </c>
      <c r="D276" s="28" t="s">
        <v>462</v>
      </c>
      <c r="E276" s="28" t="s">
        <v>1669</v>
      </c>
      <c r="F276" s="28" t="s">
        <v>1670</v>
      </c>
      <c r="G276" s="28" t="s">
        <v>465</v>
      </c>
    </row>
    <row r="277" spans="1:7">
      <c r="A277" s="28">
        <v>11240</v>
      </c>
      <c r="B277" s="28" t="s">
        <v>1310</v>
      </c>
      <c r="C277" s="28" t="s">
        <v>1671</v>
      </c>
      <c r="D277" s="28" t="s">
        <v>462</v>
      </c>
      <c r="E277" s="28" t="s">
        <v>1672</v>
      </c>
      <c r="F277" s="28" t="s">
        <v>1673</v>
      </c>
      <c r="G277" s="28" t="s">
        <v>465</v>
      </c>
    </row>
    <row r="278" spans="1:7">
      <c r="A278" s="28">
        <v>11241</v>
      </c>
      <c r="B278" s="28" t="s">
        <v>1674</v>
      </c>
      <c r="C278" s="28" t="s">
        <v>1675</v>
      </c>
      <c r="D278" s="28" t="s">
        <v>462</v>
      </c>
      <c r="E278" s="28" t="s">
        <v>1676</v>
      </c>
      <c r="F278" s="28" t="s">
        <v>1677</v>
      </c>
      <c r="G278" s="28" t="s">
        <v>465</v>
      </c>
    </row>
    <row r="279" spans="1:7">
      <c r="A279" s="28">
        <v>11244</v>
      </c>
      <c r="B279" s="28" t="s">
        <v>941</v>
      </c>
      <c r="C279" s="28" t="s">
        <v>1678</v>
      </c>
      <c r="D279" s="28" t="s">
        <v>462</v>
      </c>
      <c r="E279" s="28" t="s">
        <v>1679</v>
      </c>
      <c r="F279" s="28" t="s">
        <v>1680</v>
      </c>
      <c r="G279" s="28" t="s">
        <v>465</v>
      </c>
    </row>
    <row r="280" spans="1:7">
      <c r="A280" s="28">
        <v>11246</v>
      </c>
      <c r="B280" s="28" t="s">
        <v>909</v>
      </c>
      <c r="C280" s="28" t="s">
        <v>1681</v>
      </c>
      <c r="D280" s="28" t="s">
        <v>462</v>
      </c>
      <c r="E280" s="28" t="s">
        <v>1682</v>
      </c>
      <c r="F280" s="28" t="s">
        <v>1683</v>
      </c>
      <c r="G280" s="28" t="s">
        <v>465</v>
      </c>
    </row>
    <row r="281" spans="1:7">
      <c r="A281" s="28">
        <v>11251</v>
      </c>
      <c r="B281" s="28" t="s">
        <v>1684</v>
      </c>
      <c r="C281" s="28" t="s">
        <v>1685</v>
      </c>
      <c r="D281" s="28" t="s">
        <v>462</v>
      </c>
      <c r="E281" s="28" t="s">
        <v>1686</v>
      </c>
      <c r="F281" s="28" t="s">
        <v>1687</v>
      </c>
      <c r="G281" s="28" t="s">
        <v>465</v>
      </c>
    </row>
    <row r="282" spans="1:7">
      <c r="A282" s="28">
        <v>11258</v>
      </c>
      <c r="B282" s="28" t="s">
        <v>1688</v>
      </c>
      <c r="C282" s="28" t="s">
        <v>1689</v>
      </c>
      <c r="D282" s="28" t="s">
        <v>462</v>
      </c>
      <c r="E282" s="28" t="s">
        <v>1690</v>
      </c>
      <c r="F282" s="28" t="s">
        <v>1691</v>
      </c>
      <c r="G282" s="28" t="s">
        <v>465</v>
      </c>
    </row>
    <row r="283" spans="1:7">
      <c r="A283" s="28">
        <v>11271</v>
      </c>
      <c r="B283" s="28" t="s">
        <v>1692</v>
      </c>
      <c r="C283" s="28" t="s">
        <v>1693</v>
      </c>
      <c r="D283" s="28" t="s">
        <v>462</v>
      </c>
      <c r="E283" s="28" t="s">
        <v>1694</v>
      </c>
      <c r="F283" s="28" t="s">
        <v>1695</v>
      </c>
      <c r="G283" s="28" t="s">
        <v>465</v>
      </c>
    </row>
    <row r="284" spans="1:7">
      <c r="A284" s="28">
        <v>11272</v>
      </c>
      <c r="B284" s="28" t="s">
        <v>1508</v>
      </c>
      <c r="C284" s="28" t="s">
        <v>1696</v>
      </c>
      <c r="D284" s="28" t="s">
        <v>462</v>
      </c>
      <c r="E284" s="28" t="s">
        <v>1697</v>
      </c>
      <c r="F284" s="28" t="s">
        <v>1698</v>
      </c>
      <c r="G284" s="28" t="s">
        <v>465</v>
      </c>
    </row>
    <row r="285" spans="1:7">
      <c r="A285" s="28">
        <v>11278</v>
      </c>
      <c r="B285" s="28" t="s">
        <v>1387</v>
      </c>
      <c r="C285" s="28" t="s">
        <v>1699</v>
      </c>
      <c r="D285" s="28" t="s">
        <v>462</v>
      </c>
      <c r="E285" s="28" t="s">
        <v>1700</v>
      </c>
      <c r="F285" s="28" t="s">
        <v>1701</v>
      </c>
      <c r="G285" s="28" t="s">
        <v>465</v>
      </c>
    </row>
    <row r="286" spans="1:7">
      <c r="A286" s="28">
        <v>11280</v>
      </c>
      <c r="B286" s="28" t="s">
        <v>1702</v>
      </c>
      <c r="C286" s="28" t="s">
        <v>1703</v>
      </c>
      <c r="D286" s="28" t="s">
        <v>462</v>
      </c>
      <c r="E286" s="28" t="s">
        <v>1704</v>
      </c>
      <c r="F286" s="28" t="s">
        <v>1705</v>
      </c>
      <c r="G286" s="28" t="s">
        <v>465</v>
      </c>
    </row>
    <row r="287" spans="1:7">
      <c r="A287" s="28">
        <v>11285</v>
      </c>
      <c r="B287" s="28" t="s">
        <v>645</v>
      </c>
      <c r="C287" s="28" t="s">
        <v>1706</v>
      </c>
      <c r="D287" s="28" t="s">
        <v>462</v>
      </c>
      <c r="E287" s="28" t="s">
        <v>1707</v>
      </c>
      <c r="F287" s="28" t="s">
        <v>1708</v>
      </c>
      <c r="G287" s="28" t="s">
        <v>465</v>
      </c>
    </row>
    <row r="288" spans="1:7">
      <c r="A288" s="28">
        <v>11288</v>
      </c>
      <c r="B288" s="28" t="s">
        <v>665</v>
      </c>
      <c r="C288" s="28" t="s">
        <v>1709</v>
      </c>
      <c r="D288" s="28" t="s">
        <v>462</v>
      </c>
      <c r="E288" s="28" t="s">
        <v>1710</v>
      </c>
      <c r="F288" s="28" t="s">
        <v>1711</v>
      </c>
      <c r="G288" s="28" t="s">
        <v>465</v>
      </c>
    </row>
    <row r="289" spans="1:7">
      <c r="A289" s="28">
        <v>11292</v>
      </c>
      <c r="B289" s="28" t="s">
        <v>1557</v>
      </c>
      <c r="C289" s="28" t="s">
        <v>1712</v>
      </c>
      <c r="D289" s="28" t="s">
        <v>462</v>
      </c>
      <c r="E289" s="28" t="s">
        <v>1713</v>
      </c>
      <c r="F289" s="28" t="s">
        <v>1714</v>
      </c>
      <c r="G289" s="28" t="s">
        <v>465</v>
      </c>
    </row>
    <row r="290" spans="1:7">
      <c r="A290" s="28">
        <v>11295</v>
      </c>
      <c r="B290" s="28" t="s">
        <v>1715</v>
      </c>
      <c r="C290" s="28" t="s">
        <v>1716</v>
      </c>
      <c r="D290" s="28" t="s">
        <v>462</v>
      </c>
      <c r="E290" s="28" t="s">
        <v>1717</v>
      </c>
      <c r="F290" s="28" t="s">
        <v>1718</v>
      </c>
      <c r="G290" s="28" t="s">
        <v>465</v>
      </c>
    </row>
    <row r="291" spans="1:7">
      <c r="A291" s="28">
        <v>11311</v>
      </c>
      <c r="B291" s="28" t="s">
        <v>1719</v>
      </c>
      <c r="C291" s="28" t="s">
        <v>1720</v>
      </c>
      <c r="D291" s="28" t="s">
        <v>462</v>
      </c>
      <c r="E291" s="28" t="s">
        <v>1721</v>
      </c>
      <c r="F291" s="28" t="s">
        <v>1722</v>
      </c>
      <c r="G291" s="28" t="s">
        <v>465</v>
      </c>
    </row>
    <row r="292" spans="1:7">
      <c r="A292" s="28">
        <v>11312</v>
      </c>
      <c r="B292" s="28" t="s">
        <v>1723</v>
      </c>
      <c r="C292" s="28" t="s">
        <v>1724</v>
      </c>
      <c r="D292" s="28" t="s">
        <v>462</v>
      </c>
      <c r="E292" s="28" t="s">
        <v>1725</v>
      </c>
      <c r="F292" s="28" t="s">
        <v>1726</v>
      </c>
      <c r="G292" s="28" t="s">
        <v>465</v>
      </c>
    </row>
    <row r="293" spans="1:7">
      <c r="A293" s="28">
        <v>11314</v>
      </c>
      <c r="B293" s="28" t="s">
        <v>1727</v>
      </c>
      <c r="C293" s="28" t="s">
        <v>1728</v>
      </c>
      <c r="D293" s="28" t="s">
        <v>462</v>
      </c>
      <c r="E293" s="28" t="s">
        <v>1729</v>
      </c>
      <c r="F293" s="28" t="s">
        <v>1730</v>
      </c>
      <c r="G293" s="28" t="s">
        <v>465</v>
      </c>
    </row>
    <row r="294" spans="1:7">
      <c r="A294" s="28">
        <v>11315</v>
      </c>
      <c r="B294" s="28" t="s">
        <v>1731</v>
      </c>
      <c r="C294" s="28" t="s">
        <v>1467</v>
      </c>
      <c r="D294" s="28" t="s">
        <v>462</v>
      </c>
      <c r="E294" s="28" t="s">
        <v>1732</v>
      </c>
      <c r="F294" s="28" t="s">
        <v>1733</v>
      </c>
      <c r="G294" s="28" t="s">
        <v>465</v>
      </c>
    </row>
    <row r="295" spans="1:7">
      <c r="A295" s="28">
        <v>11317</v>
      </c>
      <c r="B295" s="28" t="s">
        <v>1470</v>
      </c>
      <c r="C295" s="28" t="s">
        <v>1734</v>
      </c>
      <c r="D295" s="28" t="s">
        <v>462</v>
      </c>
      <c r="E295" s="28" t="s">
        <v>1735</v>
      </c>
      <c r="F295" s="28" t="s">
        <v>1736</v>
      </c>
      <c r="G295" s="28" t="s">
        <v>465</v>
      </c>
    </row>
    <row r="296" spans="1:7">
      <c r="A296" s="28">
        <v>11322</v>
      </c>
      <c r="B296" s="28" t="s">
        <v>850</v>
      </c>
      <c r="C296" s="28" t="s">
        <v>1737</v>
      </c>
      <c r="D296" s="28" t="s">
        <v>462</v>
      </c>
      <c r="E296" s="28" t="s">
        <v>1738</v>
      </c>
      <c r="F296" s="28" t="s">
        <v>1739</v>
      </c>
      <c r="G296" s="28" t="s">
        <v>465</v>
      </c>
    </row>
    <row r="297" spans="1:7">
      <c r="A297" s="28">
        <v>11323</v>
      </c>
      <c r="B297" s="28" t="s">
        <v>1740</v>
      </c>
      <c r="C297" s="28" t="s">
        <v>1741</v>
      </c>
      <c r="D297" s="28" t="s">
        <v>462</v>
      </c>
      <c r="E297" s="28" t="s">
        <v>1742</v>
      </c>
      <c r="F297" s="28" t="s">
        <v>1743</v>
      </c>
      <c r="G297" s="28" t="s">
        <v>465</v>
      </c>
    </row>
    <row r="298" spans="1:7">
      <c r="A298" s="28">
        <v>11324</v>
      </c>
      <c r="B298" s="28" t="s">
        <v>1744</v>
      </c>
      <c r="C298" s="28" t="s">
        <v>1745</v>
      </c>
      <c r="D298" s="28" t="s">
        <v>462</v>
      </c>
      <c r="E298" s="28" t="s">
        <v>1746</v>
      </c>
      <c r="F298" s="28" t="s">
        <v>1747</v>
      </c>
      <c r="G298" s="28" t="s">
        <v>465</v>
      </c>
    </row>
    <row r="299" spans="1:7">
      <c r="A299" s="28">
        <v>11327</v>
      </c>
      <c r="B299" s="28" t="s">
        <v>1748</v>
      </c>
      <c r="C299" s="28" t="s">
        <v>1749</v>
      </c>
      <c r="D299" s="28" t="s">
        <v>462</v>
      </c>
      <c r="E299" s="28" t="s">
        <v>1750</v>
      </c>
      <c r="F299" s="28" t="s">
        <v>1751</v>
      </c>
      <c r="G299" s="28" t="s">
        <v>465</v>
      </c>
    </row>
    <row r="300" spans="1:7">
      <c r="A300" s="28">
        <v>11337</v>
      </c>
      <c r="B300" s="28" t="s">
        <v>1752</v>
      </c>
      <c r="C300" s="28" t="s">
        <v>1753</v>
      </c>
      <c r="D300" s="28" t="s">
        <v>462</v>
      </c>
      <c r="E300" s="28" t="s">
        <v>1754</v>
      </c>
      <c r="F300" s="28" t="s">
        <v>1755</v>
      </c>
      <c r="G300" s="28" t="s">
        <v>465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36B8-0E14-4DF1-853B-E488D3759857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D631-8C9E-4CF0-8DF6-FF2CB302013E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2D0B-C2C1-4DD7-BC26-23FE27D8B72A}">
  <dimension ref="A1:I74"/>
  <sheetViews>
    <sheetView topLeftCell="A40" workbookViewId="0">
      <selection activeCell="E70" sqref="E70"/>
    </sheetView>
  </sheetViews>
  <sheetFormatPr defaultRowHeight="14.45"/>
  <cols>
    <col min="1" max="1" width="14" customWidth="1"/>
    <col min="2" max="2" width="17.28515625" bestFit="1" customWidth="1"/>
    <col min="3" max="3" width="22.28515625" customWidth="1"/>
    <col min="4" max="4" width="18.42578125" style="12" customWidth="1"/>
    <col min="5" max="5" width="26.7109375" customWidth="1"/>
  </cols>
  <sheetData>
    <row r="1" spans="1:5">
      <c r="A1" t="s">
        <v>129</v>
      </c>
      <c r="B1" t="s">
        <v>130</v>
      </c>
      <c r="C1" t="s">
        <v>385</v>
      </c>
      <c r="D1" s="12" t="s">
        <v>393</v>
      </c>
      <c r="E1" t="s">
        <v>1756</v>
      </c>
    </row>
    <row r="2" spans="1:5">
      <c r="A2">
        <v>2009</v>
      </c>
      <c r="B2" t="s">
        <v>167</v>
      </c>
      <c r="C2" t="s">
        <v>407</v>
      </c>
      <c r="E2">
        <v>100</v>
      </c>
    </row>
    <row r="3" spans="1:5">
      <c r="A3" s="5">
        <v>2004</v>
      </c>
      <c r="B3" s="5" t="s">
        <v>409</v>
      </c>
      <c r="C3" t="s">
        <v>407</v>
      </c>
      <c r="E3">
        <v>100</v>
      </c>
    </row>
    <row r="4" spans="1:5">
      <c r="A4" s="5">
        <v>2002</v>
      </c>
      <c r="B4" s="5" t="s">
        <v>185</v>
      </c>
      <c r="C4" t="s">
        <v>407</v>
      </c>
      <c r="E4">
        <v>100</v>
      </c>
    </row>
    <row r="5" spans="1:5">
      <c r="A5">
        <v>2008</v>
      </c>
      <c r="B5" t="s">
        <v>191</v>
      </c>
      <c r="C5" t="s">
        <v>1757</v>
      </c>
      <c r="E5">
        <v>100</v>
      </c>
    </row>
    <row r="6" spans="1:5">
      <c r="A6">
        <v>2005</v>
      </c>
      <c r="B6" t="s">
        <v>411</v>
      </c>
      <c r="C6" t="s">
        <v>407</v>
      </c>
      <c r="E6">
        <v>100</v>
      </c>
    </row>
    <row r="7" spans="1:5">
      <c r="A7">
        <v>2010</v>
      </c>
      <c r="B7" t="s">
        <v>203</v>
      </c>
      <c r="C7" t="s">
        <v>407</v>
      </c>
      <c r="E7">
        <v>100</v>
      </c>
    </row>
    <row r="8" spans="1:5">
      <c r="A8">
        <v>2007</v>
      </c>
      <c r="B8" t="s">
        <v>210</v>
      </c>
      <c r="C8" t="s">
        <v>635</v>
      </c>
      <c r="E8">
        <v>100</v>
      </c>
    </row>
    <row r="9" spans="1:5">
      <c r="A9">
        <v>2006</v>
      </c>
      <c r="B9" t="s">
        <v>217</v>
      </c>
      <c r="C9" t="s">
        <v>635</v>
      </c>
      <c r="E9">
        <v>100</v>
      </c>
    </row>
    <row r="10" spans="1:5">
      <c r="A10">
        <v>2003</v>
      </c>
      <c r="B10" t="s">
        <v>222</v>
      </c>
      <c r="C10" t="s">
        <v>635</v>
      </c>
      <c r="E10">
        <v>100</v>
      </c>
    </row>
    <row r="11" spans="1:5">
      <c r="A11">
        <v>2011</v>
      </c>
      <c r="B11" t="s">
        <v>229</v>
      </c>
      <c r="C11" t="s">
        <v>635</v>
      </c>
      <c r="E11">
        <v>100</v>
      </c>
    </row>
    <row r="12" spans="1:5">
      <c r="A12">
        <v>2012</v>
      </c>
      <c r="B12" t="s">
        <v>235</v>
      </c>
      <c r="C12" t="s">
        <v>635</v>
      </c>
      <c r="E12">
        <v>100</v>
      </c>
    </row>
    <row r="13" spans="1:5">
      <c r="A13">
        <v>2013</v>
      </c>
      <c r="B13" t="s">
        <v>240</v>
      </c>
      <c r="C13" t="s">
        <v>635</v>
      </c>
      <c r="E13">
        <v>100</v>
      </c>
    </row>
    <row r="14" spans="1:5">
      <c r="A14">
        <v>94</v>
      </c>
      <c r="B14" t="s">
        <v>246</v>
      </c>
      <c r="C14" t="s">
        <v>635</v>
      </c>
      <c r="E14">
        <v>100</v>
      </c>
    </row>
    <row r="15" spans="1:5">
      <c r="A15">
        <v>73</v>
      </c>
      <c r="B15" t="s">
        <v>253</v>
      </c>
      <c r="C15" t="s">
        <v>635</v>
      </c>
      <c r="E15">
        <v>200</v>
      </c>
    </row>
    <row r="16" spans="1:5">
      <c r="A16">
        <v>88</v>
      </c>
      <c r="B16" t="s">
        <v>261</v>
      </c>
      <c r="C16" t="s">
        <v>635</v>
      </c>
      <c r="E16">
        <v>200</v>
      </c>
    </row>
    <row r="17" spans="1:5">
      <c r="A17">
        <v>91</v>
      </c>
      <c r="B17" t="s">
        <v>265</v>
      </c>
      <c r="C17" t="s">
        <v>635</v>
      </c>
      <c r="E17">
        <v>200</v>
      </c>
    </row>
    <row r="18" spans="1:5">
      <c r="A18">
        <v>92</v>
      </c>
      <c r="B18" t="s">
        <v>269</v>
      </c>
      <c r="C18" t="s">
        <v>635</v>
      </c>
      <c r="E18">
        <v>200</v>
      </c>
    </row>
    <row r="19" spans="1:5">
      <c r="A19">
        <v>111</v>
      </c>
      <c r="B19" t="s">
        <v>273</v>
      </c>
      <c r="C19" t="s">
        <v>635</v>
      </c>
      <c r="E19">
        <v>200</v>
      </c>
    </row>
    <row r="20" spans="1:5">
      <c r="A20">
        <v>110</v>
      </c>
      <c r="B20" t="s">
        <v>277</v>
      </c>
      <c r="C20" t="s">
        <v>635</v>
      </c>
      <c r="E20">
        <v>200</v>
      </c>
    </row>
    <row r="21" spans="1:5">
      <c r="A21">
        <v>95</v>
      </c>
      <c r="B21" t="s">
        <v>281</v>
      </c>
      <c r="C21" t="s">
        <v>635</v>
      </c>
      <c r="E21">
        <v>200</v>
      </c>
    </row>
    <row r="22" spans="1:5">
      <c r="A22">
        <v>80</v>
      </c>
      <c r="B22" t="s">
        <v>174</v>
      </c>
      <c r="C22" t="s">
        <v>635</v>
      </c>
      <c r="E22">
        <v>200</v>
      </c>
    </row>
    <row r="23" spans="1:5">
      <c r="A23">
        <v>115</v>
      </c>
      <c r="B23" t="s">
        <v>290</v>
      </c>
      <c r="C23" t="s">
        <v>635</v>
      </c>
      <c r="E23">
        <v>200</v>
      </c>
    </row>
    <row r="24" spans="1:5">
      <c r="A24">
        <v>93</v>
      </c>
      <c r="B24" t="s">
        <v>294</v>
      </c>
      <c r="C24" t="s">
        <v>407</v>
      </c>
      <c r="E24">
        <v>200</v>
      </c>
    </row>
    <row r="25" spans="1:5">
      <c r="A25">
        <v>101</v>
      </c>
      <c r="B25" t="s">
        <v>298</v>
      </c>
      <c r="C25" t="s">
        <v>407</v>
      </c>
      <c r="E25">
        <v>200</v>
      </c>
    </row>
    <row r="26" spans="1:5">
      <c r="A26">
        <v>100</v>
      </c>
      <c r="B26" t="s">
        <v>302</v>
      </c>
      <c r="C26" t="s">
        <v>407</v>
      </c>
      <c r="E26">
        <v>200</v>
      </c>
    </row>
    <row r="27" spans="1:5">
      <c r="A27">
        <v>104</v>
      </c>
      <c r="B27" t="s">
        <v>306</v>
      </c>
      <c r="C27" t="s">
        <v>407</v>
      </c>
      <c r="E27">
        <v>200</v>
      </c>
    </row>
    <row r="28" spans="1:5">
      <c r="A28">
        <v>86</v>
      </c>
      <c r="B28" t="s">
        <v>310</v>
      </c>
      <c r="C28" t="s">
        <v>407</v>
      </c>
      <c r="E28">
        <v>200</v>
      </c>
    </row>
    <row r="29" spans="1:5">
      <c r="A29">
        <v>89</v>
      </c>
      <c r="B29" t="s">
        <v>315</v>
      </c>
      <c r="C29" t="s">
        <v>407</v>
      </c>
      <c r="E29">
        <v>200</v>
      </c>
    </row>
    <row r="30" spans="1:5">
      <c r="A30">
        <v>72</v>
      </c>
      <c r="B30" t="s">
        <v>319</v>
      </c>
      <c r="C30" t="s">
        <v>407</v>
      </c>
      <c r="E30">
        <v>200</v>
      </c>
    </row>
    <row r="31" spans="1:5">
      <c r="A31">
        <v>162</v>
      </c>
      <c r="B31" t="s">
        <v>324</v>
      </c>
      <c r="C31" t="s">
        <v>407</v>
      </c>
      <c r="E31">
        <v>200</v>
      </c>
    </row>
    <row r="32" spans="1:5">
      <c r="A32">
        <v>1121</v>
      </c>
      <c r="B32" t="s">
        <v>327</v>
      </c>
      <c r="C32" t="s">
        <v>407</v>
      </c>
      <c r="E32">
        <v>200</v>
      </c>
    </row>
    <row r="33" spans="1:5">
      <c r="A33">
        <v>1117</v>
      </c>
      <c r="B33" t="s">
        <v>329</v>
      </c>
      <c r="C33" t="s">
        <v>407</v>
      </c>
      <c r="E33">
        <v>300</v>
      </c>
    </row>
    <row r="34" spans="1:5">
      <c r="A34">
        <v>1115</v>
      </c>
      <c r="B34" t="s">
        <v>331</v>
      </c>
      <c r="C34" t="s">
        <v>407</v>
      </c>
      <c r="E34">
        <v>300</v>
      </c>
    </row>
    <row r="35" spans="1:5">
      <c r="A35">
        <v>1128</v>
      </c>
      <c r="B35" t="s">
        <v>332</v>
      </c>
      <c r="C35" t="s">
        <v>407</v>
      </c>
      <c r="E35">
        <v>300</v>
      </c>
    </row>
    <row r="36" spans="1:5">
      <c r="A36">
        <v>1123</v>
      </c>
      <c r="B36" t="s">
        <v>334</v>
      </c>
      <c r="C36" t="s">
        <v>407</v>
      </c>
      <c r="E36">
        <v>300</v>
      </c>
    </row>
    <row r="37" spans="1:5">
      <c r="A37">
        <v>70</v>
      </c>
      <c r="B37" t="s">
        <v>336</v>
      </c>
      <c r="C37" t="s">
        <v>407</v>
      </c>
      <c r="E37">
        <v>300</v>
      </c>
    </row>
    <row r="38" spans="1:5">
      <c r="A38">
        <v>1119</v>
      </c>
      <c r="B38" t="s">
        <v>337</v>
      </c>
      <c r="C38" t="s">
        <v>407</v>
      </c>
      <c r="E38">
        <v>300</v>
      </c>
    </row>
    <row r="39" spans="1:5">
      <c r="A39">
        <v>1118</v>
      </c>
      <c r="B39" t="s">
        <v>338</v>
      </c>
      <c r="C39" t="s">
        <v>407</v>
      </c>
      <c r="E39">
        <v>300</v>
      </c>
    </row>
    <row r="40" spans="1:5">
      <c r="A40">
        <v>59</v>
      </c>
      <c r="B40" t="s">
        <v>340</v>
      </c>
      <c r="C40" t="s">
        <v>407</v>
      </c>
      <c r="E40">
        <v>300</v>
      </c>
    </row>
    <row r="41" spans="1:5">
      <c r="A41">
        <v>1127</v>
      </c>
      <c r="B41" t="s">
        <v>341</v>
      </c>
      <c r="C41" t="s">
        <v>407</v>
      </c>
      <c r="E41">
        <v>300</v>
      </c>
    </row>
    <row r="42" spans="1:5">
      <c r="A42">
        <v>1132</v>
      </c>
      <c r="B42" t="s">
        <v>342</v>
      </c>
      <c r="C42" t="s">
        <v>407</v>
      </c>
      <c r="E42">
        <v>300</v>
      </c>
    </row>
    <row r="43" spans="1:5">
      <c r="A43">
        <v>1126</v>
      </c>
      <c r="B43" t="s">
        <v>344</v>
      </c>
      <c r="C43" t="s">
        <v>407</v>
      </c>
      <c r="E43">
        <v>300</v>
      </c>
    </row>
    <row r="44" spans="1:5">
      <c r="A44">
        <v>1125</v>
      </c>
      <c r="B44" t="s">
        <v>345</v>
      </c>
      <c r="C44" t="s">
        <v>407</v>
      </c>
      <c r="E44">
        <v>300</v>
      </c>
    </row>
    <row r="45" spans="1:5">
      <c r="A45">
        <v>167</v>
      </c>
      <c r="B45" t="s">
        <v>346</v>
      </c>
      <c r="C45" t="s">
        <v>407</v>
      </c>
      <c r="E45">
        <v>300</v>
      </c>
    </row>
    <row r="46" spans="1:5">
      <c r="A46" s="5">
        <v>168</v>
      </c>
      <c r="B46" s="5" t="s">
        <v>348</v>
      </c>
      <c r="C46" t="s">
        <v>407</v>
      </c>
      <c r="E46">
        <v>300</v>
      </c>
    </row>
    <row r="47" spans="1:5">
      <c r="A47">
        <v>1113</v>
      </c>
      <c r="B47" t="s">
        <v>350</v>
      </c>
      <c r="C47" t="s">
        <v>407</v>
      </c>
      <c r="E47">
        <v>300</v>
      </c>
    </row>
    <row r="48" spans="1:5">
      <c r="A48">
        <v>1028</v>
      </c>
      <c r="B48" t="s">
        <v>351</v>
      </c>
      <c r="C48" t="s">
        <v>407</v>
      </c>
      <c r="E48">
        <v>300</v>
      </c>
    </row>
    <row r="49" spans="1:5">
      <c r="A49">
        <v>1010</v>
      </c>
      <c r="B49" t="s">
        <v>354</v>
      </c>
      <c r="C49" t="s">
        <v>407</v>
      </c>
      <c r="E49">
        <v>300</v>
      </c>
    </row>
    <row r="50" spans="1:5">
      <c r="A50">
        <v>175</v>
      </c>
      <c r="B50" t="s">
        <v>355</v>
      </c>
      <c r="C50" t="s">
        <v>407</v>
      </c>
      <c r="E50">
        <v>300</v>
      </c>
    </row>
    <row r="51" spans="1:5">
      <c r="A51">
        <v>176</v>
      </c>
      <c r="B51" t="s">
        <v>358</v>
      </c>
      <c r="C51" t="s">
        <v>407</v>
      </c>
      <c r="E51">
        <v>300</v>
      </c>
    </row>
    <row r="52" spans="1:5">
      <c r="A52">
        <v>172</v>
      </c>
      <c r="B52" t="s">
        <v>359</v>
      </c>
      <c r="C52" t="s">
        <v>407</v>
      </c>
      <c r="E52">
        <v>300</v>
      </c>
    </row>
    <row r="53" spans="1:5">
      <c r="A53">
        <v>174</v>
      </c>
      <c r="B53" t="s">
        <v>360</v>
      </c>
      <c r="C53" t="s">
        <v>407</v>
      </c>
      <c r="E53">
        <v>300</v>
      </c>
    </row>
    <row r="54" spans="1:5">
      <c r="A54">
        <v>170</v>
      </c>
      <c r="B54" t="s">
        <v>362</v>
      </c>
      <c r="C54" t="s">
        <v>407</v>
      </c>
      <c r="E54">
        <v>300</v>
      </c>
    </row>
    <row r="55" spans="1:5">
      <c r="A55">
        <v>177</v>
      </c>
      <c r="B55" t="s">
        <v>363</v>
      </c>
      <c r="C55" t="s">
        <v>407</v>
      </c>
      <c r="E55">
        <v>400</v>
      </c>
    </row>
    <row r="56" spans="1:5">
      <c r="A56">
        <v>161</v>
      </c>
      <c r="B56" t="s">
        <v>364</v>
      </c>
      <c r="C56" t="s">
        <v>407</v>
      </c>
      <c r="E56">
        <v>400</v>
      </c>
    </row>
    <row r="57" spans="1:5">
      <c r="A57">
        <v>166</v>
      </c>
      <c r="B57" t="s">
        <v>366</v>
      </c>
      <c r="C57" t="s">
        <v>407</v>
      </c>
      <c r="E57">
        <v>400</v>
      </c>
    </row>
    <row r="58" spans="1:5">
      <c r="A58">
        <v>1012</v>
      </c>
      <c r="B58" t="s">
        <v>369</v>
      </c>
      <c r="C58" t="s">
        <v>407</v>
      </c>
      <c r="E58" t="s">
        <v>1758</v>
      </c>
    </row>
    <row r="59" spans="1:5">
      <c r="A59">
        <v>1043</v>
      </c>
      <c r="B59" t="s">
        <v>372</v>
      </c>
      <c r="C59" t="s">
        <v>407</v>
      </c>
      <c r="E59">
        <v>400</v>
      </c>
    </row>
    <row r="60" spans="1:5">
      <c r="A60">
        <v>1114</v>
      </c>
      <c r="B60" t="s">
        <v>374</v>
      </c>
      <c r="C60" t="s">
        <v>407</v>
      </c>
      <c r="E60">
        <v>400</v>
      </c>
    </row>
    <row r="61" spans="1:5">
      <c r="A61">
        <v>2168</v>
      </c>
      <c r="B61" t="s">
        <v>375</v>
      </c>
      <c r="C61" t="s">
        <v>407</v>
      </c>
      <c r="E61">
        <v>400</v>
      </c>
    </row>
    <row r="62" spans="1:5">
      <c r="A62">
        <v>2167</v>
      </c>
      <c r="B62" t="s">
        <v>378</v>
      </c>
      <c r="C62" t="s">
        <v>407</v>
      </c>
      <c r="E62">
        <v>400</v>
      </c>
    </row>
    <row r="63" spans="1:5">
      <c r="A63">
        <v>2000</v>
      </c>
      <c r="B63" t="s">
        <v>380</v>
      </c>
      <c r="C63" t="s">
        <v>407</v>
      </c>
      <c r="E63">
        <v>400</v>
      </c>
    </row>
    <row r="64" spans="1:5">
      <c r="A64">
        <v>2001</v>
      </c>
      <c r="B64" t="s">
        <v>381</v>
      </c>
      <c r="C64" t="s">
        <v>407</v>
      </c>
      <c r="E64">
        <v>400</v>
      </c>
    </row>
    <row r="65" spans="1:9">
      <c r="A65" s="5">
        <v>2166</v>
      </c>
      <c r="B65" s="5" t="s">
        <v>382</v>
      </c>
      <c r="C65" t="s">
        <v>407</v>
      </c>
      <c r="E65">
        <v>400</v>
      </c>
    </row>
    <row r="66" spans="1:9">
      <c r="A66" s="5">
        <v>2166</v>
      </c>
      <c r="B66" s="5" t="s">
        <v>382</v>
      </c>
      <c r="C66" t="s">
        <v>635</v>
      </c>
      <c r="E66">
        <v>400</v>
      </c>
    </row>
    <row r="74" spans="1:9">
      <c r="I74" t="s">
        <v>226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29B5-C641-417C-B2A0-FB9454F68EFF}">
  <dimension ref="A1:P16"/>
  <sheetViews>
    <sheetView workbookViewId="0">
      <selection activeCell="A16" sqref="A1:XFD16"/>
    </sheetView>
  </sheetViews>
  <sheetFormatPr defaultRowHeight="14.45"/>
  <cols>
    <col min="1" max="1" width="11.5703125" customWidth="1"/>
    <col min="2" max="2" width="18" customWidth="1"/>
    <col min="3" max="3" width="28.42578125" customWidth="1"/>
    <col min="4" max="4" width="15.7109375" customWidth="1"/>
    <col min="5" max="5" width="13.28515625" customWidth="1"/>
    <col min="6" max="6" width="17.7109375" customWidth="1"/>
    <col min="7" max="7" width="19.7109375" customWidth="1"/>
    <col min="8" max="8" width="17.7109375" customWidth="1"/>
    <col min="9" max="9" width="15.7109375" customWidth="1"/>
    <col min="10" max="10" width="20.42578125" customWidth="1"/>
    <col min="11" max="11" width="23.5703125" customWidth="1"/>
    <col min="12" max="12" width="19.28515625" customWidth="1"/>
    <col min="13" max="13" width="11.28515625" customWidth="1"/>
    <col min="14" max="14" width="22.7109375" customWidth="1"/>
    <col min="15" max="16" width="23.42578125" customWidth="1"/>
  </cols>
  <sheetData>
    <row r="1" spans="1:16">
      <c r="A1" t="s">
        <v>128</v>
      </c>
      <c r="B1" t="s">
        <v>130</v>
      </c>
      <c r="C1" t="s">
        <v>1759</v>
      </c>
      <c r="D1" t="s">
        <v>1760</v>
      </c>
      <c r="E1" t="s">
        <v>1761</v>
      </c>
      <c r="F1" t="s">
        <v>1762</v>
      </c>
      <c r="G1" t="s">
        <v>1763</v>
      </c>
      <c r="H1" t="s">
        <v>1764</v>
      </c>
      <c r="I1" t="s">
        <v>1765</v>
      </c>
      <c r="J1" t="s">
        <v>1766</v>
      </c>
      <c r="K1" t="s">
        <v>1767</v>
      </c>
      <c r="L1" t="s">
        <v>1768</v>
      </c>
      <c r="M1" t="s">
        <v>1769</v>
      </c>
      <c r="N1" t="s">
        <v>1770</v>
      </c>
      <c r="O1" t="s">
        <v>1771</v>
      </c>
      <c r="P1" t="s">
        <v>1772</v>
      </c>
    </row>
    <row r="2" spans="1:16" ht="16.149999999999999" customHeight="1">
      <c r="A2">
        <v>2008</v>
      </c>
      <c r="B2" t="s">
        <v>191</v>
      </c>
      <c r="C2" t="s">
        <v>262</v>
      </c>
      <c r="D2">
        <v>500</v>
      </c>
      <c r="E2">
        <v>100</v>
      </c>
      <c r="F2">
        <v>1000</v>
      </c>
      <c r="G2">
        <v>500</v>
      </c>
      <c r="H2" s="2">
        <v>45292</v>
      </c>
      <c r="I2">
        <v>1000</v>
      </c>
      <c r="J2" t="s">
        <v>97</v>
      </c>
      <c r="K2" s="14">
        <v>0.1</v>
      </c>
      <c r="L2">
        <v>5000</v>
      </c>
      <c r="M2" t="s">
        <v>1773</v>
      </c>
      <c r="N2" t="s">
        <v>1774</v>
      </c>
      <c r="O2">
        <v>100</v>
      </c>
      <c r="P2" t="s">
        <v>96</v>
      </c>
    </row>
    <row r="3" spans="1:16">
      <c r="A3">
        <v>2005</v>
      </c>
      <c r="B3" t="s">
        <v>197</v>
      </c>
      <c r="C3" t="s">
        <v>266</v>
      </c>
      <c r="D3" s="1">
        <v>1000</v>
      </c>
      <c r="E3">
        <v>100</v>
      </c>
      <c r="F3" s="1">
        <v>2000</v>
      </c>
      <c r="G3" s="1">
        <v>1000</v>
      </c>
      <c r="H3" s="2">
        <v>45570</v>
      </c>
      <c r="I3" s="1">
        <v>2000</v>
      </c>
      <c r="J3" t="s">
        <v>97</v>
      </c>
      <c r="K3" s="14">
        <v>0.1</v>
      </c>
      <c r="L3">
        <v>6000</v>
      </c>
      <c r="M3" t="s">
        <v>1775</v>
      </c>
      <c r="N3" t="s">
        <v>1774</v>
      </c>
      <c r="O3">
        <v>100</v>
      </c>
      <c r="P3" t="s">
        <v>96</v>
      </c>
    </row>
    <row r="4" spans="1:16">
      <c r="A4">
        <v>2010</v>
      </c>
      <c r="B4" t="s">
        <v>203</v>
      </c>
      <c r="C4" t="s">
        <v>270</v>
      </c>
      <c r="D4" s="1">
        <v>1500</v>
      </c>
      <c r="E4">
        <v>100</v>
      </c>
      <c r="F4" s="1">
        <v>3000</v>
      </c>
      <c r="G4" s="1">
        <v>1500</v>
      </c>
      <c r="H4" s="2">
        <v>45354</v>
      </c>
      <c r="I4" s="1">
        <v>3000</v>
      </c>
      <c r="J4" t="s">
        <v>97</v>
      </c>
      <c r="K4" s="14">
        <v>0.2</v>
      </c>
      <c r="L4">
        <v>7000</v>
      </c>
      <c r="M4" t="s">
        <v>1776</v>
      </c>
      <c r="N4" t="s">
        <v>1777</v>
      </c>
      <c r="O4">
        <v>100</v>
      </c>
      <c r="P4" t="s">
        <v>96</v>
      </c>
    </row>
    <row r="5" spans="1:16">
      <c r="A5">
        <v>2007</v>
      </c>
      <c r="B5" t="s">
        <v>210</v>
      </c>
      <c r="C5" t="s">
        <v>274</v>
      </c>
      <c r="D5">
        <v>2000</v>
      </c>
      <c r="E5">
        <v>300</v>
      </c>
      <c r="F5">
        <v>4000</v>
      </c>
      <c r="G5">
        <v>2000</v>
      </c>
      <c r="H5" s="2">
        <v>45355</v>
      </c>
      <c r="I5">
        <v>4000</v>
      </c>
      <c r="J5" t="s">
        <v>97</v>
      </c>
      <c r="K5" s="14">
        <v>0.3</v>
      </c>
      <c r="L5">
        <v>8000</v>
      </c>
      <c r="M5" t="s">
        <v>81</v>
      </c>
      <c r="N5" t="s">
        <v>1778</v>
      </c>
      <c r="O5">
        <v>100</v>
      </c>
      <c r="P5" t="s">
        <v>96</v>
      </c>
    </row>
    <row r="6" spans="1:16">
      <c r="A6">
        <v>2006</v>
      </c>
      <c r="B6" t="s">
        <v>217</v>
      </c>
      <c r="C6" t="s">
        <v>278</v>
      </c>
      <c r="D6">
        <v>3000</v>
      </c>
      <c r="E6">
        <v>400</v>
      </c>
      <c r="F6">
        <v>5000</v>
      </c>
      <c r="G6">
        <v>3000</v>
      </c>
      <c r="H6" s="2">
        <v>45356</v>
      </c>
      <c r="I6">
        <v>5000</v>
      </c>
      <c r="J6" t="s">
        <v>98</v>
      </c>
      <c r="K6" s="14">
        <v>0.11</v>
      </c>
      <c r="L6">
        <v>9000</v>
      </c>
      <c r="M6" t="s">
        <v>82</v>
      </c>
      <c r="N6" t="s">
        <v>1779</v>
      </c>
      <c r="O6">
        <v>100</v>
      </c>
      <c r="P6" t="s">
        <v>96</v>
      </c>
    </row>
    <row r="7" spans="1:16">
      <c r="A7">
        <v>2003</v>
      </c>
      <c r="B7" t="s">
        <v>222</v>
      </c>
      <c r="C7" t="s">
        <v>282</v>
      </c>
      <c r="D7">
        <v>4000</v>
      </c>
      <c r="E7">
        <v>500</v>
      </c>
      <c r="F7">
        <v>6000</v>
      </c>
      <c r="G7">
        <v>4000</v>
      </c>
      <c r="H7" s="2">
        <v>45357</v>
      </c>
      <c r="I7">
        <v>6000</v>
      </c>
      <c r="J7" t="s">
        <v>98</v>
      </c>
      <c r="K7" s="14">
        <v>0.15</v>
      </c>
      <c r="L7">
        <v>1000</v>
      </c>
      <c r="M7" t="s">
        <v>83</v>
      </c>
      <c r="N7" t="s">
        <v>1780</v>
      </c>
      <c r="O7">
        <v>100</v>
      </c>
      <c r="P7" t="s">
        <v>96</v>
      </c>
    </row>
    <row r="8" spans="1:16">
      <c r="A8">
        <v>2011</v>
      </c>
      <c r="B8" t="s">
        <v>229</v>
      </c>
      <c r="C8" t="s">
        <v>258</v>
      </c>
      <c r="D8">
        <v>5000</v>
      </c>
      <c r="E8">
        <v>600</v>
      </c>
      <c r="F8">
        <v>7000</v>
      </c>
      <c r="G8">
        <v>5000</v>
      </c>
      <c r="H8" s="2">
        <v>45358</v>
      </c>
      <c r="I8">
        <v>7000</v>
      </c>
      <c r="J8" t="s">
        <v>98</v>
      </c>
      <c r="K8" s="14">
        <v>0.16</v>
      </c>
      <c r="L8">
        <v>2000</v>
      </c>
      <c r="M8" t="s">
        <v>84</v>
      </c>
      <c r="N8" t="s">
        <v>1774</v>
      </c>
      <c r="O8">
        <v>100</v>
      </c>
      <c r="P8" t="s">
        <v>96</v>
      </c>
    </row>
    <row r="9" spans="1:16">
      <c r="A9">
        <v>2012</v>
      </c>
      <c r="B9" t="s">
        <v>235</v>
      </c>
      <c r="C9" t="s">
        <v>291</v>
      </c>
      <c r="D9">
        <v>6000</v>
      </c>
      <c r="E9">
        <v>700</v>
      </c>
      <c r="F9">
        <v>8000</v>
      </c>
      <c r="G9">
        <v>6000</v>
      </c>
      <c r="H9" s="2">
        <v>45359</v>
      </c>
      <c r="I9">
        <v>8000</v>
      </c>
      <c r="J9" t="s">
        <v>106</v>
      </c>
      <c r="K9" s="14">
        <v>0.1</v>
      </c>
      <c r="L9">
        <v>3000</v>
      </c>
      <c r="M9" t="s">
        <v>85</v>
      </c>
      <c r="N9" t="s">
        <v>1774</v>
      </c>
      <c r="O9">
        <v>100</v>
      </c>
      <c r="P9" t="s">
        <v>96</v>
      </c>
    </row>
    <row r="10" spans="1:16">
      <c r="A10">
        <v>162</v>
      </c>
      <c r="B10" t="s">
        <v>324</v>
      </c>
      <c r="C10" t="s">
        <v>291</v>
      </c>
      <c r="D10">
        <v>6001</v>
      </c>
      <c r="E10">
        <v>701</v>
      </c>
      <c r="F10">
        <v>8001</v>
      </c>
      <c r="G10">
        <v>6001</v>
      </c>
      <c r="H10" s="2">
        <v>45360</v>
      </c>
      <c r="I10">
        <v>8000</v>
      </c>
      <c r="J10" t="s">
        <v>106</v>
      </c>
      <c r="K10" s="14">
        <v>1.1000000000000001</v>
      </c>
      <c r="L10">
        <v>3001</v>
      </c>
      <c r="M10" t="s">
        <v>85</v>
      </c>
      <c r="N10" t="s">
        <v>1774</v>
      </c>
      <c r="O10">
        <v>101</v>
      </c>
      <c r="P10" t="s">
        <v>96</v>
      </c>
    </row>
    <row r="11" spans="1:16">
      <c r="A11">
        <v>1121</v>
      </c>
      <c r="B11" t="s">
        <v>327</v>
      </c>
      <c r="C11" t="s">
        <v>291</v>
      </c>
      <c r="D11">
        <v>6002</v>
      </c>
      <c r="E11">
        <v>702</v>
      </c>
      <c r="F11">
        <v>8002</v>
      </c>
      <c r="G11">
        <v>6002</v>
      </c>
      <c r="H11" s="2">
        <v>45361</v>
      </c>
      <c r="I11">
        <v>8001</v>
      </c>
      <c r="J11" t="s">
        <v>106</v>
      </c>
      <c r="K11" s="14">
        <v>2.1</v>
      </c>
      <c r="L11">
        <v>3002</v>
      </c>
      <c r="M11" t="s">
        <v>85</v>
      </c>
      <c r="N11" t="s">
        <v>1774</v>
      </c>
      <c r="O11">
        <v>102</v>
      </c>
      <c r="P11" t="s">
        <v>96</v>
      </c>
    </row>
    <row r="12" spans="1:16">
      <c r="A12">
        <v>1117</v>
      </c>
      <c r="B12" t="s">
        <v>329</v>
      </c>
      <c r="C12" t="s">
        <v>282</v>
      </c>
      <c r="D12">
        <v>6003</v>
      </c>
      <c r="E12">
        <v>703</v>
      </c>
      <c r="F12">
        <v>8003</v>
      </c>
      <c r="G12">
        <v>6003</v>
      </c>
      <c r="H12" s="2">
        <v>45362</v>
      </c>
      <c r="I12">
        <v>8002</v>
      </c>
      <c r="J12" t="s">
        <v>106</v>
      </c>
      <c r="K12" s="14">
        <v>3.1</v>
      </c>
      <c r="L12">
        <v>3003</v>
      </c>
      <c r="M12" t="s">
        <v>85</v>
      </c>
      <c r="N12" t="s">
        <v>1774</v>
      </c>
      <c r="O12">
        <v>103</v>
      </c>
      <c r="P12" t="s">
        <v>96</v>
      </c>
    </row>
    <row r="13" spans="1:16">
      <c r="A13">
        <v>1115</v>
      </c>
      <c r="B13" t="s">
        <v>331</v>
      </c>
      <c r="C13" t="s">
        <v>282</v>
      </c>
      <c r="D13">
        <v>6004</v>
      </c>
      <c r="E13">
        <v>704</v>
      </c>
      <c r="F13">
        <v>8004</v>
      </c>
      <c r="G13">
        <v>6004</v>
      </c>
      <c r="H13" s="2">
        <v>45363</v>
      </c>
      <c r="I13">
        <v>8003</v>
      </c>
      <c r="J13" t="s">
        <v>108</v>
      </c>
      <c r="K13" s="14">
        <v>4.0999999999999996</v>
      </c>
      <c r="L13">
        <v>3004</v>
      </c>
      <c r="M13" t="s">
        <v>85</v>
      </c>
      <c r="N13" t="s">
        <v>1774</v>
      </c>
      <c r="O13">
        <v>104</v>
      </c>
      <c r="P13" t="s">
        <v>96</v>
      </c>
    </row>
    <row r="14" spans="1:16">
      <c r="A14">
        <v>1128</v>
      </c>
      <c r="B14" t="s">
        <v>332</v>
      </c>
      <c r="C14" t="s">
        <v>278</v>
      </c>
      <c r="D14">
        <v>6005</v>
      </c>
      <c r="E14">
        <v>705</v>
      </c>
      <c r="F14">
        <v>8005</v>
      </c>
      <c r="G14">
        <v>6005</v>
      </c>
      <c r="H14" s="2">
        <v>45364</v>
      </c>
      <c r="I14">
        <v>8004</v>
      </c>
      <c r="J14" t="s">
        <v>108</v>
      </c>
      <c r="K14" s="14">
        <v>5.0999999999999996</v>
      </c>
      <c r="L14">
        <v>3005</v>
      </c>
      <c r="M14" t="s">
        <v>85</v>
      </c>
      <c r="N14" t="s">
        <v>1774</v>
      </c>
      <c r="O14">
        <v>105</v>
      </c>
      <c r="P14" t="s">
        <v>96</v>
      </c>
    </row>
    <row r="15" spans="1:16">
      <c r="A15">
        <v>1123</v>
      </c>
      <c r="B15" t="s">
        <v>334</v>
      </c>
      <c r="C15" t="s">
        <v>282</v>
      </c>
      <c r="D15">
        <v>6006</v>
      </c>
      <c r="E15">
        <v>706</v>
      </c>
      <c r="F15">
        <v>8006</v>
      </c>
      <c r="G15">
        <v>6006</v>
      </c>
      <c r="H15" s="2">
        <v>45365</v>
      </c>
      <c r="I15">
        <v>8005</v>
      </c>
      <c r="J15" t="s">
        <v>108</v>
      </c>
      <c r="K15" s="14">
        <v>6.1</v>
      </c>
      <c r="L15">
        <v>3006</v>
      </c>
      <c r="M15" t="s">
        <v>85</v>
      </c>
      <c r="N15" t="s">
        <v>1774</v>
      </c>
      <c r="O15">
        <v>106</v>
      </c>
      <c r="P15" t="s">
        <v>96</v>
      </c>
    </row>
    <row r="16" spans="1:16">
      <c r="A16">
        <v>70</v>
      </c>
      <c r="B16" t="s">
        <v>336</v>
      </c>
      <c r="C16" t="s">
        <v>282</v>
      </c>
      <c r="D16">
        <v>6007</v>
      </c>
      <c r="E16">
        <v>707</v>
      </c>
      <c r="F16">
        <v>8007</v>
      </c>
      <c r="G16">
        <v>6007</v>
      </c>
      <c r="H16" s="2">
        <v>45366</v>
      </c>
      <c r="I16">
        <v>8006</v>
      </c>
      <c r="J16" t="s">
        <v>108</v>
      </c>
      <c r="K16" s="14">
        <v>7.1</v>
      </c>
      <c r="L16">
        <v>3007</v>
      </c>
      <c r="M16" t="s">
        <v>85</v>
      </c>
      <c r="N16" t="s">
        <v>1774</v>
      </c>
      <c r="O16">
        <v>107</v>
      </c>
      <c r="P16" t="s">
        <v>96</v>
      </c>
    </row>
  </sheetData>
  <phoneticPr fontId="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1919-6851-4CBF-941D-F0E4B5D70C4F}">
  <dimension ref="A1:E65"/>
  <sheetViews>
    <sheetView workbookViewId="0">
      <selection activeCell="F19" sqref="F19"/>
    </sheetView>
  </sheetViews>
  <sheetFormatPr defaultRowHeight="14.45"/>
  <cols>
    <col min="1" max="1" width="14.28515625" customWidth="1"/>
    <col min="2" max="2" width="18" customWidth="1"/>
    <col min="3" max="3" width="16.7109375" bestFit="1" customWidth="1"/>
    <col min="4" max="4" width="13" bestFit="1" customWidth="1"/>
    <col min="5" max="5" width="18.7109375" customWidth="1"/>
  </cols>
  <sheetData>
    <row r="1" spans="1:5">
      <c r="A1" t="s">
        <v>128</v>
      </c>
      <c r="B1" t="s">
        <v>130</v>
      </c>
      <c r="C1" t="s">
        <v>152</v>
      </c>
      <c r="D1" t="s">
        <v>0</v>
      </c>
      <c r="E1" t="s">
        <v>1781</v>
      </c>
    </row>
    <row r="2" spans="1:5">
      <c r="A2">
        <v>2009</v>
      </c>
      <c r="B2" t="s">
        <v>637</v>
      </c>
      <c r="C2" s="3">
        <v>68000</v>
      </c>
      <c r="D2" s="1" t="s">
        <v>11</v>
      </c>
      <c r="E2">
        <v>1000</v>
      </c>
    </row>
    <row r="3" spans="1:5">
      <c r="A3" s="5">
        <v>2004</v>
      </c>
      <c r="B3" s="5" t="s">
        <v>638</v>
      </c>
      <c r="C3" s="3">
        <v>70000</v>
      </c>
      <c r="D3" s="1" t="s">
        <v>11</v>
      </c>
      <c r="E3">
        <v>2000</v>
      </c>
    </row>
    <row r="4" spans="1:5">
      <c r="A4" s="5">
        <v>2002</v>
      </c>
      <c r="B4" s="5" t="s">
        <v>185</v>
      </c>
      <c r="C4" s="3">
        <v>80000</v>
      </c>
      <c r="D4" s="1" t="s">
        <v>11</v>
      </c>
      <c r="E4">
        <v>3000</v>
      </c>
    </row>
    <row r="5" spans="1:5">
      <c r="A5">
        <v>2008</v>
      </c>
      <c r="B5" t="s">
        <v>191</v>
      </c>
      <c r="C5" s="3">
        <v>66000</v>
      </c>
      <c r="D5" s="1" t="s">
        <v>11</v>
      </c>
      <c r="E5">
        <v>4000</v>
      </c>
    </row>
    <row r="6" spans="1:5">
      <c r="A6">
        <v>2005</v>
      </c>
      <c r="B6" t="s">
        <v>411</v>
      </c>
      <c r="C6" s="3">
        <v>58000</v>
      </c>
      <c r="D6" s="1" t="s">
        <v>11</v>
      </c>
      <c r="E6">
        <v>4001</v>
      </c>
    </row>
    <row r="7" spans="1:5">
      <c r="A7">
        <v>2010</v>
      </c>
      <c r="B7" t="s">
        <v>203</v>
      </c>
      <c r="C7" s="3">
        <v>60000</v>
      </c>
      <c r="D7" s="1" t="s">
        <v>11</v>
      </c>
      <c r="E7">
        <v>4002</v>
      </c>
    </row>
    <row r="8" spans="1:5">
      <c r="A8">
        <v>2007</v>
      </c>
      <c r="B8" t="s">
        <v>210</v>
      </c>
      <c r="C8" s="3">
        <v>70000</v>
      </c>
      <c r="D8" s="1" t="s">
        <v>11</v>
      </c>
      <c r="E8">
        <v>4003</v>
      </c>
    </row>
    <row r="9" spans="1:5">
      <c r="A9">
        <v>2006</v>
      </c>
      <c r="B9" t="s">
        <v>217</v>
      </c>
      <c r="C9" s="3">
        <v>48800</v>
      </c>
      <c r="D9" s="1" t="s">
        <v>11</v>
      </c>
      <c r="E9">
        <v>4004</v>
      </c>
    </row>
    <row r="10" spans="1:5">
      <c r="A10">
        <v>2003</v>
      </c>
      <c r="B10" t="s">
        <v>222</v>
      </c>
      <c r="C10" s="3">
        <v>45750</v>
      </c>
      <c r="D10" s="1" t="s">
        <v>11</v>
      </c>
      <c r="E10">
        <v>4005</v>
      </c>
    </row>
    <row r="11" spans="1:5">
      <c r="A11">
        <v>2011</v>
      </c>
      <c r="B11" t="s">
        <v>229</v>
      </c>
      <c r="C11" s="3">
        <v>45750</v>
      </c>
      <c r="D11" s="1" t="s">
        <v>11</v>
      </c>
      <c r="E11">
        <v>4006</v>
      </c>
    </row>
    <row r="12" spans="1:5">
      <c r="A12">
        <v>2012</v>
      </c>
      <c r="B12" t="s">
        <v>235</v>
      </c>
      <c r="C12" s="3">
        <v>91500</v>
      </c>
      <c r="D12" s="1" t="s">
        <v>9</v>
      </c>
      <c r="E12">
        <v>4007</v>
      </c>
    </row>
    <row r="13" spans="1:5">
      <c r="A13">
        <v>2013</v>
      </c>
      <c r="B13" t="s">
        <v>240</v>
      </c>
      <c r="C13" s="3">
        <v>91500</v>
      </c>
      <c r="D13" s="1" t="s">
        <v>9</v>
      </c>
      <c r="E13">
        <v>4008</v>
      </c>
    </row>
    <row r="14" spans="1:5">
      <c r="A14">
        <v>94</v>
      </c>
      <c r="B14" t="s">
        <v>246</v>
      </c>
      <c r="C14" s="3">
        <v>14821.11</v>
      </c>
      <c r="D14" s="1" t="s">
        <v>6</v>
      </c>
      <c r="E14">
        <v>4009</v>
      </c>
    </row>
    <row r="15" spans="1:5">
      <c r="A15">
        <v>73</v>
      </c>
      <c r="B15" t="s">
        <v>253</v>
      </c>
      <c r="C15" s="3">
        <v>113250.01</v>
      </c>
      <c r="D15" s="1" t="s">
        <v>6</v>
      </c>
      <c r="E15">
        <v>4010</v>
      </c>
    </row>
    <row r="16" spans="1:5">
      <c r="A16">
        <v>88</v>
      </c>
      <c r="B16" t="s">
        <v>261</v>
      </c>
      <c r="C16" s="3">
        <v>34078.120000000003</v>
      </c>
      <c r="D16" s="1" t="s">
        <v>6</v>
      </c>
      <c r="E16">
        <v>4011</v>
      </c>
    </row>
    <row r="17" spans="1:5">
      <c r="A17">
        <v>91</v>
      </c>
      <c r="B17" t="s">
        <v>265</v>
      </c>
      <c r="C17" s="3">
        <v>19025.13</v>
      </c>
      <c r="D17" s="1" t="s">
        <v>6</v>
      </c>
      <c r="E17">
        <v>4012</v>
      </c>
    </row>
    <row r="18" spans="1:5">
      <c r="A18">
        <v>92</v>
      </c>
      <c r="B18" t="s">
        <v>269</v>
      </c>
      <c r="C18" s="3">
        <v>26987.48</v>
      </c>
      <c r="D18" s="1" t="s">
        <v>6</v>
      </c>
      <c r="E18">
        <v>4013</v>
      </c>
    </row>
    <row r="19" spans="1:5">
      <c r="A19">
        <v>111</v>
      </c>
      <c r="B19" t="s">
        <v>273</v>
      </c>
      <c r="C19" s="3">
        <v>18720.009999999998</v>
      </c>
      <c r="D19" s="1" t="s">
        <v>6</v>
      </c>
      <c r="E19">
        <v>4014</v>
      </c>
    </row>
    <row r="20" spans="1:5">
      <c r="A20">
        <v>110</v>
      </c>
      <c r="B20" t="s">
        <v>277</v>
      </c>
      <c r="C20" s="3">
        <v>12474.01</v>
      </c>
      <c r="D20" s="1" t="s">
        <v>6</v>
      </c>
    </row>
    <row r="21" spans="1:5">
      <c r="A21">
        <v>95</v>
      </c>
      <c r="B21" t="s">
        <v>281</v>
      </c>
      <c r="C21" s="3">
        <v>18600</v>
      </c>
      <c r="D21" s="1" t="s">
        <v>19</v>
      </c>
    </row>
    <row r="22" spans="1:5">
      <c r="A22">
        <v>80</v>
      </c>
      <c r="B22" t="s">
        <v>174</v>
      </c>
      <c r="C22" s="3">
        <v>30125.48</v>
      </c>
      <c r="D22" s="1" t="s">
        <v>19</v>
      </c>
    </row>
    <row r="23" spans="1:5">
      <c r="A23">
        <v>115</v>
      </c>
      <c r="B23" t="s">
        <v>290</v>
      </c>
      <c r="C23" s="3">
        <v>14757.04</v>
      </c>
      <c r="D23" s="1" t="s">
        <v>19</v>
      </c>
    </row>
    <row r="24" spans="1:5">
      <c r="A24">
        <v>93</v>
      </c>
      <c r="B24" t="s">
        <v>294</v>
      </c>
      <c r="C24" s="3">
        <v>17825.95</v>
      </c>
      <c r="D24" s="1" t="s">
        <v>19</v>
      </c>
    </row>
    <row r="25" spans="1:5">
      <c r="A25">
        <v>101</v>
      </c>
      <c r="B25" t="s">
        <v>298</v>
      </c>
      <c r="C25" s="3">
        <v>15010.12</v>
      </c>
      <c r="D25" s="1" t="s">
        <v>19</v>
      </c>
    </row>
    <row r="26" spans="1:5">
      <c r="A26">
        <v>100</v>
      </c>
      <c r="B26" t="s">
        <v>302</v>
      </c>
      <c r="C26" s="3">
        <v>11987.99</v>
      </c>
      <c r="D26" s="1" t="s">
        <v>19</v>
      </c>
    </row>
    <row r="27" spans="1:5">
      <c r="A27">
        <v>104</v>
      </c>
      <c r="B27" t="s">
        <v>306</v>
      </c>
      <c r="C27" s="3">
        <v>16640.21</v>
      </c>
      <c r="D27" s="1" t="s">
        <v>19</v>
      </c>
    </row>
    <row r="28" spans="1:5">
      <c r="A28">
        <v>86</v>
      </c>
      <c r="B28" t="s">
        <v>310</v>
      </c>
      <c r="C28" s="3">
        <v>68124.33</v>
      </c>
      <c r="D28" s="1" t="s">
        <v>19</v>
      </c>
    </row>
    <row r="29" spans="1:5">
      <c r="A29">
        <v>89</v>
      </c>
      <c r="B29" t="s">
        <v>315</v>
      </c>
      <c r="C29" s="3">
        <v>37845.019999999997</v>
      </c>
      <c r="D29" s="1" t="s">
        <v>19</v>
      </c>
    </row>
    <row r="30" spans="1:5">
      <c r="A30">
        <v>72</v>
      </c>
      <c r="B30" t="s">
        <v>319</v>
      </c>
      <c r="C30" s="3">
        <v>159017.24</v>
      </c>
      <c r="D30" s="1" t="s">
        <v>22</v>
      </c>
    </row>
    <row r="31" spans="1:5">
      <c r="A31">
        <v>162</v>
      </c>
      <c r="B31" t="s">
        <v>324</v>
      </c>
      <c r="C31" s="3">
        <v>321512.21000000002</v>
      </c>
      <c r="D31" s="1" t="s">
        <v>22</v>
      </c>
    </row>
    <row r="32" spans="1:5">
      <c r="A32">
        <v>1121</v>
      </c>
      <c r="B32" t="s">
        <v>327</v>
      </c>
      <c r="C32" s="3">
        <v>65024.480000000003</v>
      </c>
      <c r="D32" s="1" t="s">
        <v>22</v>
      </c>
    </row>
    <row r="33" spans="1:4">
      <c r="A33">
        <v>1117</v>
      </c>
      <c r="B33" t="s">
        <v>329</v>
      </c>
      <c r="C33" s="3">
        <v>28012.04</v>
      </c>
      <c r="D33" s="1" t="s">
        <v>22</v>
      </c>
    </row>
    <row r="34" spans="1:4">
      <c r="A34">
        <v>1115</v>
      </c>
      <c r="B34" t="s">
        <v>331</v>
      </c>
      <c r="C34" s="3">
        <v>113011.05</v>
      </c>
      <c r="D34" s="1" t="s">
        <v>22</v>
      </c>
    </row>
    <row r="35" spans="1:4">
      <c r="A35">
        <v>1128</v>
      </c>
      <c r="B35" t="s">
        <v>332</v>
      </c>
      <c r="C35" s="3">
        <v>19905.599999999999</v>
      </c>
      <c r="D35" s="1" t="s">
        <v>22</v>
      </c>
    </row>
    <row r="36" spans="1:4">
      <c r="A36">
        <v>1123</v>
      </c>
      <c r="B36" t="s">
        <v>334</v>
      </c>
      <c r="C36" s="3">
        <v>20280.009999999998</v>
      </c>
      <c r="D36" s="1" t="s">
        <v>22</v>
      </c>
    </row>
    <row r="37" spans="1:4">
      <c r="A37">
        <v>70</v>
      </c>
      <c r="B37" t="s">
        <v>336</v>
      </c>
      <c r="C37" s="3">
        <v>12045.11</v>
      </c>
      <c r="D37" s="1" t="s">
        <v>22</v>
      </c>
    </row>
    <row r="38" spans="1:4">
      <c r="A38">
        <v>1119</v>
      </c>
      <c r="B38" t="s">
        <v>337</v>
      </c>
      <c r="C38" s="3">
        <v>33624.18</v>
      </c>
      <c r="D38" s="1" t="s">
        <v>25</v>
      </c>
    </row>
    <row r="39" spans="1:4">
      <c r="A39">
        <v>1118</v>
      </c>
      <c r="B39" t="s">
        <v>338</v>
      </c>
      <c r="C39" s="3">
        <v>39512.04</v>
      </c>
      <c r="D39" s="1" t="s">
        <v>25</v>
      </c>
    </row>
    <row r="40" spans="1:4">
      <c r="A40">
        <v>59</v>
      </c>
      <c r="B40" t="s">
        <v>340</v>
      </c>
      <c r="C40" s="3">
        <v>10500</v>
      </c>
      <c r="D40" s="1" t="s">
        <v>25</v>
      </c>
    </row>
    <row r="41" spans="1:4">
      <c r="A41">
        <v>1127</v>
      </c>
      <c r="B41" t="s">
        <v>341</v>
      </c>
      <c r="C41" s="3">
        <v>11960.01</v>
      </c>
      <c r="D41" s="1" t="s">
        <v>25</v>
      </c>
    </row>
    <row r="42" spans="1:4">
      <c r="A42">
        <v>1132</v>
      </c>
      <c r="B42" t="s">
        <v>342</v>
      </c>
      <c r="C42" s="3">
        <v>15245.01</v>
      </c>
      <c r="D42" s="1" t="s">
        <v>25</v>
      </c>
    </row>
    <row r="43" spans="1:4">
      <c r="A43">
        <v>1126</v>
      </c>
      <c r="B43" t="s">
        <v>344</v>
      </c>
      <c r="C43" s="3">
        <v>14975.32</v>
      </c>
      <c r="D43" s="1" t="s">
        <v>25</v>
      </c>
    </row>
    <row r="44" spans="1:4">
      <c r="A44">
        <v>1125</v>
      </c>
      <c r="B44" t="s">
        <v>345</v>
      </c>
      <c r="C44" s="3">
        <v>31252.080000000002</v>
      </c>
      <c r="D44" s="1" t="s">
        <v>25</v>
      </c>
    </row>
    <row r="45" spans="1:4">
      <c r="A45">
        <v>167</v>
      </c>
      <c r="B45" t="s">
        <v>346</v>
      </c>
      <c r="C45" s="3">
        <v>95000</v>
      </c>
      <c r="D45" s="1" t="s">
        <v>25</v>
      </c>
    </row>
    <row r="46" spans="1:4">
      <c r="A46" s="5">
        <v>168</v>
      </c>
      <c r="B46" s="5" t="s">
        <v>348</v>
      </c>
      <c r="C46" s="3">
        <v>187214.21</v>
      </c>
      <c r="D46" s="1" t="s">
        <v>25</v>
      </c>
    </row>
    <row r="47" spans="1:4">
      <c r="A47">
        <v>1113</v>
      </c>
      <c r="B47" t="s">
        <v>350</v>
      </c>
      <c r="C47" s="3">
        <v>179117</v>
      </c>
      <c r="D47" s="1" t="s">
        <v>16</v>
      </c>
    </row>
    <row r="48" spans="1:4">
      <c r="A48">
        <v>1028</v>
      </c>
      <c r="B48" t="s">
        <v>351</v>
      </c>
      <c r="C48" s="3">
        <v>61500.24</v>
      </c>
      <c r="D48" s="1" t="s">
        <v>16</v>
      </c>
    </row>
    <row r="49" spans="1:4">
      <c r="A49">
        <v>1010</v>
      </c>
      <c r="B49" t="s">
        <v>354</v>
      </c>
      <c r="C49" s="3">
        <v>264152.01</v>
      </c>
      <c r="D49" s="1" t="s">
        <v>16</v>
      </c>
    </row>
    <row r="50" spans="1:4">
      <c r="A50">
        <v>175</v>
      </c>
      <c r="B50" t="s">
        <v>355</v>
      </c>
      <c r="C50" s="3">
        <v>60000</v>
      </c>
      <c r="D50" s="1" t="s">
        <v>16</v>
      </c>
    </row>
    <row r="51" spans="1:4">
      <c r="A51">
        <v>176</v>
      </c>
      <c r="B51" t="s">
        <v>358</v>
      </c>
      <c r="C51" s="3">
        <v>60000</v>
      </c>
      <c r="D51" s="1" t="s">
        <v>16</v>
      </c>
    </row>
    <row r="52" spans="1:4">
      <c r="A52">
        <v>172</v>
      </c>
      <c r="B52" t="s">
        <v>359</v>
      </c>
      <c r="C52" s="3">
        <v>60000</v>
      </c>
      <c r="D52" s="1" t="s">
        <v>16</v>
      </c>
    </row>
    <row r="53" spans="1:4">
      <c r="A53">
        <v>174</v>
      </c>
      <c r="B53" t="s">
        <v>360</v>
      </c>
      <c r="C53" s="3">
        <v>60000</v>
      </c>
      <c r="D53" s="1" t="s">
        <v>16</v>
      </c>
    </row>
    <row r="54" spans="1:4">
      <c r="A54">
        <v>170</v>
      </c>
      <c r="B54" t="s">
        <v>362</v>
      </c>
      <c r="C54" s="3">
        <v>60000</v>
      </c>
      <c r="D54" s="1" t="s">
        <v>16</v>
      </c>
    </row>
    <row r="55" spans="1:4">
      <c r="A55">
        <v>177</v>
      </c>
      <c r="B55" t="s">
        <v>363</v>
      </c>
      <c r="C55" s="3">
        <v>60000</v>
      </c>
      <c r="D55" s="1" t="s">
        <v>6</v>
      </c>
    </row>
    <row r="56" spans="1:4">
      <c r="A56">
        <v>161</v>
      </c>
      <c r="B56" t="s">
        <v>364</v>
      </c>
      <c r="C56" s="3">
        <v>47584</v>
      </c>
      <c r="D56" s="1" t="s">
        <v>6</v>
      </c>
    </row>
    <row r="57" spans="1:4">
      <c r="A57">
        <v>166</v>
      </c>
      <c r="B57" t="s">
        <v>366</v>
      </c>
      <c r="C57" s="3">
        <v>175541.2</v>
      </c>
      <c r="D57" s="1" t="s">
        <v>6</v>
      </c>
    </row>
    <row r="58" spans="1:4">
      <c r="A58">
        <v>1012</v>
      </c>
      <c r="B58" t="s">
        <v>369</v>
      </c>
      <c r="C58" s="3">
        <v>191522.11</v>
      </c>
      <c r="D58" s="1" t="s">
        <v>6</v>
      </c>
    </row>
    <row r="59" spans="1:4">
      <c r="A59">
        <v>1043</v>
      </c>
      <c r="B59" t="s">
        <v>372</v>
      </c>
      <c r="C59" s="3">
        <v>50104.1</v>
      </c>
      <c r="D59" s="1" t="s">
        <v>6</v>
      </c>
    </row>
    <row r="60" spans="1:4">
      <c r="A60">
        <v>1114</v>
      </c>
      <c r="B60" t="s">
        <v>374</v>
      </c>
      <c r="C60" s="3">
        <v>65012.01</v>
      </c>
      <c r="D60" s="1" t="s">
        <v>6</v>
      </c>
    </row>
    <row r="61" spans="1:4">
      <c r="A61">
        <v>2168</v>
      </c>
      <c r="B61" t="s">
        <v>375</v>
      </c>
      <c r="C61" s="3">
        <v>89500</v>
      </c>
      <c r="D61" s="1" t="s">
        <v>9</v>
      </c>
    </row>
    <row r="62" spans="1:4">
      <c r="A62">
        <v>2167</v>
      </c>
      <c r="B62" t="s">
        <v>378</v>
      </c>
      <c r="C62" s="3">
        <v>96021.35</v>
      </c>
      <c r="D62" s="1" t="s">
        <v>9</v>
      </c>
    </row>
    <row r="63" spans="1:4">
      <c r="A63">
        <v>2000</v>
      </c>
      <c r="B63" t="s">
        <v>380</v>
      </c>
      <c r="C63" s="3">
        <v>95000</v>
      </c>
      <c r="D63" s="1" t="s">
        <v>9</v>
      </c>
    </row>
    <row r="64" spans="1:4">
      <c r="A64">
        <v>2001</v>
      </c>
      <c r="B64" t="s">
        <v>381</v>
      </c>
      <c r="C64" s="3">
        <v>98000</v>
      </c>
      <c r="D64" s="1" t="s">
        <v>9</v>
      </c>
    </row>
    <row r="65" spans="1:4">
      <c r="A65" s="5">
        <v>2166</v>
      </c>
      <c r="B65" s="5" t="s">
        <v>382</v>
      </c>
      <c r="C65" s="3">
        <v>205000</v>
      </c>
      <c r="D65" s="1" t="s">
        <v>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7ADE-4568-4A86-979F-B068F8A6A57D}">
  <dimension ref="A1:R8"/>
  <sheetViews>
    <sheetView workbookViewId="0">
      <selection activeCell="F5" sqref="F5"/>
    </sheetView>
  </sheetViews>
  <sheetFormatPr defaultRowHeight="14.45"/>
  <cols>
    <col min="2" max="2" width="15.85546875" customWidth="1"/>
  </cols>
  <sheetData>
    <row r="1" spans="1:18">
      <c r="A1" t="s">
        <v>129</v>
      </c>
      <c r="B1" t="s">
        <v>130</v>
      </c>
      <c r="C1" t="s">
        <v>385</v>
      </c>
      <c r="D1" t="s">
        <v>1782</v>
      </c>
      <c r="E1" t="s">
        <v>1783</v>
      </c>
      <c r="F1" s="12" t="s">
        <v>393</v>
      </c>
      <c r="G1" s="12" t="s">
        <v>394</v>
      </c>
      <c r="H1" s="12" t="s">
        <v>386</v>
      </c>
      <c r="I1" t="s">
        <v>397</v>
      </c>
      <c r="J1" t="s">
        <v>399</v>
      </c>
      <c r="K1" t="s">
        <v>400</v>
      </c>
      <c r="L1" t="s">
        <v>401</v>
      </c>
      <c r="M1" t="s">
        <v>402</v>
      </c>
      <c r="N1" t="s">
        <v>403</v>
      </c>
      <c r="O1" t="s">
        <v>404</v>
      </c>
      <c r="P1" t="s">
        <v>405</v>
      </c>
      <c r="Q1" t="s">
        <v>406</v>
      </c>
      <c r="R1" t="s">
        <v>132</v>
      </c>
    </row>
    <row r="2" spans="1:18">
      <c r="A2" s="5">
        <v>2002</v>
      </c>
      <c r="B2" s="5" t="s">
        <v>185</v>
      </c>
      <c r="C2" t="s">
        <v>407</v>
      </c>
      <c r="D2" s="13">
        <v>100000</v>
      </c>
      <c r="E2" t="s">
        <v>22</v>
      </c>
      <c r="F2" s="12"/>
      <c r="G2" s="12"/>
      <c r="H2" s="17">
        <v>1</v>
      </c>
      <c r="I2" s="14">
        <v>0.1</v>
      </c>
      <c r="J2" s="13">
        <v>10000</v>
      </c>
      <c r="P2" t="s">
        <v>248</v>
      </c>
      <c r="Q2">
        <v>12</v>
      </c>
      <c r="R2" t="s">
        <v>408</v>
      </c>
    </row>
    <row r="3" spans="1:18">
      <c r="A3">
        <v>2008</v>
      </c>
      <c r="B3" t="s">
        <v>191</v>
      </c>
      <c r="C3" t="s">
        <v>407</v>
      </c>
      <c r="D3" s="13">
        <v>100000</v>
      </c>
      <c r="E3" t="s">
        <v>22</v>
      </c>
      <c r="F3" s="12"/>
      <c r="G3" s="12"/>
      <c r="H3" s="17">
        <v>1</v>
      </c>
      <c r="I3" s="14">
        <v>0.1</v>
      </c>
      <c r="J3" s="13">
        <v>10000</v>
      </c>
      <c r="P3" t="s">
        <v>248</v>
      </c>
      <c r="Q3">
        <v>13</v>
      </c>
      <c r="R3" t="s">
        <v>408</v>
      </c>
    </row>
    <row r="4" spans="1:18">
      <c r="A4">
        <v>2005</v>
      </c>
      <c r="B4" t="s">
        <v>411</v>
      </c>
      <c r="C4" t="s">
        <v>407</v>
      </c>
      <c r="D4" s="13">
        <v>100000</v>
      </c>
      <c r="E4" t="s">
        <v>22</v>
      </c>
      <c r="F4" s="12"/>
      <c r="G4" s="12"/>
      <c r="H4" s="17">
        <v>1</v>
      </c>
      <c r="I4" s="14">
        <v>0.1</v>
      </c>
      <c r="J4" s="13">
        <v>10000</v>
      </c>
      <c r="P4" t="s">
        <v>248</v>
      </c>
      <c r="Q4">
        <v>14</v>
      </c>
      <c r="R4" t="s">
        <v>408</v>
      </c>
    </row>
    <row r="5" spans="1:18">
      <c r="A5">
        <v>2010</v>
      </c>
      <c r="B5" t="s">
        <v>203</v>
      </c>
      <c r="C5" t="s">
        <v>407</v>
      </c>
      <c r="D5" s="13">
        <v>100000</v>
      </c>
      <c r="E5" t="s">
        <v>22</v>
      </c>
      <c r="F5" s="12"/>
      <c r="G5" s="12"/>
      <c r="H5" s="17">
        <v>1</v>
      </c>
      <c r="I5" s="14">
        <v>0.1</v>
      </c>
      <c r="J5" s="13">
        <v>10000</v>
      </c>
      <c r="P5" t="s">
        <v>248</v>
      </c>
      <c r="Q5">
        <v>15</v>
      </c>
      <c r="R5" t="s">
        <v>408</v>
      </c>
    </row>
    <row r="6" spans="1:18">
      <c r="A6">
        <v>2007</v>
      </c>
      <c r="B6" t="s">
        <v>210</v>
      </c>
      <c r="C6" t="s">
        <v>635</v>
      </c>
      <c r="D6" s="13">
        <v>100000</v>
      </c>
      <c r="E6" t="s">
        <v>22</v>
      </c>
      <c r="F6" s="12"/>
      <c r="G6" s="12"/>
      <c r="H6" s="17">
        <v>1</v>
      </c>
      <c r="I6" s="14"/>
      <c r="J6" s="13" t="s">
        <v>226</v>
      </c>
      <c r="L6" s="13">
        <v>5000</v>
      </c>
      <c r="M6" s="13">
        <v>10000</v>
      </c>
      <c r="N6" s="13">
        <v>25000</v>
      </c>
      <c r="O6" s="13">
        <v>6000</v>
      </c>
      <c r="P6" t="s">
        <v>248</v>
      </c>
      <c r="Q6">
        <v>16</v>
      </c>
      <c r="R6" t="s">
        <v>408</v>
      </c>
    </row>
    <row r="7" spans="1:18">
      <c r="A7">
        <v>2006</v>
      </c>
      <c r="B7" t="s">
        <v>217</v>
      </c>
      <c r="C7" t="s">
        <v>635</v>
      </c>
      <c r="D7" s="13">
        <v>100000</v>
      </c>
      <c r="E7" t="s">
        <v>22</v>
      </c>
      <c r="F7" s="12"/>
      <c r="G7" s="12"/>
      <c r="H7" s="17">
        <v>1</v>
      </c>
      <c r="I7" s="14"/>
      <c r="J7" s="13">
        <v>20000</v>
      </c>
      <c r="K7">
        <v>25000</v>
      </c>
      <c r="L7" s="13">
        <v>5000</v>
      </c>
      <c r="M7" s="13">
        <v>10000</v>
      </c>
      <c r="N7" s="13">
        <v>25000</v>
      </c>
      <c r="P7" t="s">
        <v>248</v>
      </c>
      <c r="Q7">
        <v>17</v>
      </c>
      <c r="R7" t="s">
        <v>408</v>
      </c>
    </row>
    <row r="8" spans="1:18">
      <c r="A8">
        <v>2003</v>
      </c>
      <c r="B8" t="s">
        <v>222</v>
      </c>
      <c r="C8" t="s">
        <v>635</v>
      </c>
      <c r="D8" s="13">
        <v>100000</v>
      </c>
      <c r="E8" t="s">
        <v>6</v>
      </c>
      <c r="F8" s="12"/>
      <c r="G8" s="12"/>
      <c r="H8" s="17">
        <v>1</v>
      </c>
      <c r="I8" s="14"/>
      <c r="J8" s="13">
        <v>20000</v>
      </c>
      <c r="L8" s="13">
        <v>5000</v>
      </c>
      <c r="M8" s="13">
        <v>10000</v>
      </c>
      <c r="N8" s="13">
        <v>25000</v>
      </c>
      <c r="P8" t="s">
        <v>248</v>
      </c>
      <c r="Q8">
        <v>18</v>
      </c>
      <c r="R8" t="s">
        <v>408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8380-CE53-4222-8BC3-47E50E04F2B1}">
  <dimension ref="A1:H143"/>
  <sheetViews>
    <sheetView workbookViewId="0">
      <selection activeCell="B1" sqref="B1"/>
    </sheetView>
  </sheetViews>
  <sheetFormatPr defaultRowHeight="14.45"/>
  <cols>
    <col min="1" max="1" width="12" bestFit="1" customWidth="1"/>
    <col min="2" max="2" width="17.28515625" bestFit="1" customWidth="1"/>
    <col min="3" max="3" width="11.28515625" bestFit="1" customWidth="1"/>
    <col min="4" max="4" width="11.42578125" bestFit="1" customWidth="1"/>
    <col min="5" max="5" width="19.5703125" bestFit="1" customWidth="1"/>
    <col min="6" max="6" width="18.5703125" bestFit="1" customWidth="1"/>
    <col min="7" max="7" width="14" bestFit="1" customWidth="1"/>
    <col min="257" max="257" width="12" bestFit="1" customWidth="1"/>
    <col min="258" max="258" width="17.28515625" bestFit="1" customWidth="1"/>
    <col min="259" max="259" width="11.28515625" bestFit="1" customWidth="1"/>
    <col min="260" max="260" width="11.42578125" bestFit="1" customWidth="1"/>
    <col min="261" max="261" width="19.5703125" bestFit="1" customWidth="1"/>
    <col min="262" max="262" width="18.5703125" bestFit="1" customWidth="1"/>
    <col min="263" max="263" width="14" bestFit="1" customWidth="1"/>
    <col min="513" max="513" width="12" bestFit="1" customWidth="1"/>
    <col min="514" max="514" width="17.28515625" bestFit="1" customWidth="1"/>
    <col min="515" max="515" width="11.28515625" bestFit="1" customWidth="1"/>
    <col min="516" max="516" width="11.42578125" bestFit="1" customWidth="1"/>
    <col min="517" max="517" width="19.5703125" bestFit="1" customWidth="1"/>
    <col min="518" max="518" width="18.5703125" bestFit="1" customWidth="1"/>
    <col min="519" max="519" width="14" bestFit="1" customWidth="1"/>
    <col min="769" max="769" width="12" bestFit="1" customWidth="1"/>
    <col min="770" max="770" width="17.28515625" bestFit="1" customWidth="1"/>
    <col min="771" max="771" width="11.28515625" bestFit="1" customWidth="1"/>
    <col min="772" max="772" width="11.42578125" bestFit="1" customWidth="1"/>
    <col min="773" max="773" width="19.5703125" bestFit="1" customWidth="1"/>
    <col min="774" max="774" width="18.5703125" bestFit="1" customWidth="1"/>
    <col min="775" max="775" width="14" bestFit="1" customWidth="1"/>
    <col min="1025" max="1025" width="12" bestFit="1" customWidth="1"/>
    <col min="1026" max="1026" width="17.28515625" bestFit="1" customWidth="1"/>
    <col min="1027" max="1027" width="11.28515625" bestFit="1" customWidth="1"/>
    <col min="1028" max="1028" width="11.42578125" bestFit="1" customWidth="1"/>
    <col min="1029" max="1029" width="19.5703125" bestFit="1" customWidth="1"/>
    <col min="1030" max="1030" width="18.5703125" bestFit="1" customWidth="1"/>
    <col min="1031" max="1031" width="14" bestFit="1" customWidth="1"/>
    <col min="1281" max="1281" width="12" bestFit="1" customWidth="1"/>
    <col min="1282" max="1282" width="17.28515625" bestFit="1" customWidth="1"/>
    <col min="1283" max="1283" width="11.28515625" bestFit="1" customWidth="1"/>
    <col min="1284" max="1284" width="11.42578125" bestFit="1" customWidth="1"/>
    <col min="1285" max="1285" width="19.5703125" bestFit="1" customWidth="1"/>
    <col min="1286" max="1286" width="18.5703125" bestFit="1" customWidth="1"/>
    <col min="1287" max="1287" width="14" bestFit="1" customWidth="1"/>
    <col min="1537" max="1537" width="12" bestFit="1" customWidth="1"/>
    <col min="1538" max="1538" width="17.28515625" bestFit="1" customWidth="1"/>
    <col min="1539" max="1539" width="11.28515625" bestFit="1" customWidth="1"/>
    <col min="1540" max="1540" width="11.42578125" bestFit="1" customWidth="1"/>
    <col min="1541" max="1541" width="19.5703125" bestFit="1" customWidth="1"/>
    <col min="1542" max="1542" width="18.5703125" bestFit="1" customWidth="1"/>
    <col min="1543" max="1543" width="14" bestFit="1" customWidth="1"/>
    <col min="1793" max="1793" width="12" bestFit="1" customWidth="1"/>
    <col min="1794" max="1794" width="17.28515625" bestFit="1" customWidth="1"/>
    <col min="1795" max="1795" width="11.28515625" bestFit="1" customWidth="1"/>
    <col min="1796" max="1796" width="11.42578125" bestFit="1" customWidth="1"/>
    <col min="1797" max="1797" width="19.5703125" bestFit="1" customWidth="1"/>
    <col min="1798" max="1798" width="18.5703125" bestFit="1" customWidth="1"/>
    <col min="1799" max="1799" width="14" bestFit="1" customWidth="1"/>
    <col min="2049" max="2049" width="12" bestFit="1" customWidth="1"/>
    <col min="2050" max="2050" width="17.28515625" bestFit="1" customWidth="1"/>
    <col min="2051" max="2051" width="11.28515625" bestFit="1" customWidth="1"/>
    <col min="2052" max="2052" width="11.42578125" bestFit="1" customWidth="1"/>
    <col min="2053" max="2053" width="19.5703125" bestFit="1" customWidth="1"/>
    <col min="2054" max="2054" width="18.5703125" bestFit="1" customWidth="1"/>
    <col min="2055" max="2055" width="14" bestFit="1" customWidth="1"/>
    <col min="2305" max="2305" width="12" bestFit="1" customWidth="1"/>
    <col min="2306" max="2306" width="17.28515625" bestFit="1" customWidth="1"/>
    <col min="2307" max="2307" width="11.28515625" bestFit="1" customWidth="1"/>
    <col min="2308" max="2308" width="11.42578125" bestFit="1" customWidth="1"/>
    <col min="2309" max="2309" width="19.5703125" bestFit="1" customWidth="1"/>
    <col min="2310" max="2310" width="18.5703125" bestFit="1" customWidth="1"/>
    <col min="2311" max="2311" width="14" bestFit="1" customWidth="1"/>
    <col min="2561" max="2561" width="12" bestFit="1" customWidth="1"/>
    <col min="2562" max="2562" width="17.28515625" bestFit="1" customWidth="1"/>
    <col min="2563" max="2563" width="11.28515625" bestFit="1" customWidth="1"/>
    <col min="2564" max="2564" width="11.42578125" bestFit="1" customWidth="1"/>
    <col min="2565" max="2565" width="19.5703125" bestFit="1" customWidth="1"/>
    <col min="2566" max="2566" width="18.5703125" bestFit="1" customWidth="1"/>
    <col min="2567" max="2567" width="14" bestFit="1" customWidth="1"/>
    <col min="2817" max="2817" width="12" bestFit="1" customWidth="1"/>
    <col min="2818" max="2818" width="17.28515625" bestFit="1" customWidth="1"/>
    <col min="2819" max="2819" width="11.28515625" bestFit="1" customWidth="1"/>
    <col min="2820" max="2820" width="11.42578125" bestFit="1" customWidth="1"/>
    <col min="2821" max="2821" width="19.5703125" bestFit="1" customWidth="1"/>
    <col min="2822" max="2822" width="18.5703125" bestFit="1" customWidth="1"/>
    <col min="2823" max="2823" width="14" bestFit="1" customWidth="1"/>
    <col min="3073" max="3073" width="12" bestFit="1" customWidth="1"/>
    <col min="3074" max="3074" width="17.28515625" bestFit="1" customWidth="1"/>
    <col min="3075" max="3075" width="11.28515625" bestFit="1" customWidth="1"/>
    <col min="3076" max="3076" width="11.42578125" bestFit="1" customWidth="1"/>
    <col min="3077" max="3077" width="19.5703125" bestFit="1" customWidth="1"/>
    <col min="3078" max="3078" width="18.5703125" bestFit="1" customWidth="1"/>
    <col min="3079" max="3079" width="14" bestFit="1" customWidth="1"/>
    <col min="3329" max="3329" width="12" bestFit="1" customWidth="1"/>
    <col min="3330" max="3330" width="17.28515625" bestFit="1" customWidth="1"/>
    <col min="3331" max="3331" width="11.28515625" bestFit="1" customWidth="1"/>
    <col min="3332" max="3332" width="11.42578125" bestFit="1" customWidth="1"/>
    <col min="3333" max="3333" width="19.5703125" bestFit="1" customWidth="1"/>
    <col min="3334" max="3334" width="18.5703125" bestFit="1" customWidth="1"/>
    <col min="3335" max="3335" width="14" bestFit="1" customWidth="1"/>
    <col min="3585" max="3585" width="12" bestFit="1" customWidth="1"/>
    <col min="3586" max="3586" width="17.28515625" bestFit="1" customWidth="1"/>
    <col min="3587" max="3587" width="11.28515625" bestFit="1" customWidth="1"/>
    <col min="3588" max="3588" width="11.42578125" bestFit="1" customWidth="1"/>
    <col min="3589" max="3589" width="19.5703125" bestFit="1" customWidth="1"/>
    <col min="3590" max="3590" width="18.5703125" bestFit="1" customWidth="1"/>
    <col min="3591" max="3591" width="14" bestFit="1" customWidth="1"/>
    <col min="3841" max="3841" width="12" bestFit="1" customWidth="1"/>
    <col min="3842" max="3842" width="17.28515625" bestFit="1" customWidth="1"/>
    <col min="3843" max="3843" width="11.28515625" bestFit="1" customWidth="1"/>
    <col min="3844" max="3844" width="11.42578125" bestFit="1" customWidth="1"/>
    <col min="3845" max="3845" width="19.5703125" bestFit="1" customWidth="1"/>
    <col min="3846" max="3846" width="18.5703125" bestFit="1" customWidth="1"/>
    <col min="3847" max="3847" width="14" bestFit="1" customWidth="1"/>
    <col min="4097" max="4097" width="12" bestFit="1" customWidth="1"/>
    <col min="4098" max="4098" width="17.28515625" bestFit="1" customWidth="1"/>
    <col min="4099" max="4099" width="11.28515625" bestFit="1" customWidth="1"/>
    <col min="4100" max="4100" width="11.42578125" bestFit="1" customWidth="1"/>
    <col min="4101" max="4101" width="19.5703125" bestFit="1" customWidth="1"/>
    <col min="4102" max="4102" width="18.5703125" bestFit="1" customWidth="1"/>
    <col min="4103" max="4103" width="14" bestFit="1" customWidth="1"/>
    <col min="4353" max="4353" width="12" bestFit="1" customWidth="1"/>
    <col min="4354" max="4354" width="17.28515625" bestFit="1" customWidth="1"/>
    <col min="4355" max="4355" width="11.28515625" bestFit="1" customWidth="1"/>
    <col min="4356" max="4356" width="11.42578125" bestFit="1" customWidth="1"/>
    <col min="4357" max="4357" width="19.5703125" bestFit="1" customWidth="1"/>
    <col min="4358" max="4358" width="18.5703125" bestFit="1" customWidth="1"/>
    <col min="4359" max="4359" width="14" bestFit="1" customWidth="1"/>
    <col min="4609" max="4609" width="12" bestFit="1" customWidth="1"/>
    <col min="4610" max="4610" width="17.28515625" bestFit="1" customWidth="1"/>
    <col min="4611" max="4611" width="11.28515625" bestFit="1" customWidth="1"/>
    <col min="4612" max="4612" width="11.42578125" bestFit="1" customWidth="1"/>
    <col min="4613" max="4613" width="19.5703125" bestFit="1" customWidth="1"/>
    <col min="4614" max="4614" width="18.5703125" bestFit="1" customWidth="1"/>
    <col min="4615" max="4615" width="14" bestFit="1" customWidth="1"/>
    <col min="4865" max="4865" width="12" bestFit="1" customWidth="1"/>
    <col min="4866" max="4866" width="17.28515625" bestFit="1" customWidth="1"/>
    <col min="4867" max="4867" width="11.28515625" bestFit="1" customWidth="1"/>
    <col min="4868" max="4868" width="11.42578125" bestFit="1" customWidth="1"/>
    <col min="4869" max="4869" width="19.5703125" bestFit="1" customWidth="1"/>
    <col min="4870" max="4870" width="18.5703125" bestFit="1" customWidth="1"/>
    <col min="4871" max="4871" width="14" bestFit="1" customWidth="1"/>
    <col min="5121" max="5121" width="12" bestFit="1" customWidth="1"/>
    <col min="5122" max="5122" width="17.28515625" bestFit="1" customWidth="1"/>
    <col min="5123" max="5123" width="11.28515625" bestFit="1" customWidth="1"/>
    <col min="5124" max="5124" width="11.42578125" bestFit="1" customWidth="1"/>
    <col min="5125" max="5125" width="19.5703125" bestFit="1" customWidth="1"/>
    <col min="5126" max="5126" width="18.5703125" bestFit="1" customWidth="1"/>
    <col min="5127" max="5127" width="14" bestFit="1" customWidth="1"/>
    <col min="5377" max="5377" width="12" bestFit="1" customWidth="1"/>
    <col min="5378" max="5378" width="17.28515625" bestFit="1" customWidth="1"/>
    <col min="5379" max="5379" width="11.28515625" bestFit="1" customWidth="1"/>
    <col min="5380" max="5380" width="11.42578125" bestFit="1" customWidth="1"/>
    <col min="5381" max="5381" width="19.5703125" bestFit="1" customWidth="1"/>
    <col min="5382" max="5382" width="18.5703125" bestFit="1" customWidth="1"/>
    <col min="5383" max="5383" width="14" bestFit="1" customWidth="1"/>
    <col min="5633" max="5633" width="12" bestFit="1" customWidth="1"/>
    <col min="5634" max="5634" width="17.28515625" bestFit="1" customWidth="1"/>
    <col min="5635" max="5635" width="11.28515625" bestFit="1" customWidth="1"/>
    <col min="5636" max="5636" width="11.42578125" bestFit="1" customWidth="1"/>
    <col min="5637" max="5637" width="19.5703125" bestFit="1" customWidth="1"/>
    <col min="5638" max="5638" width="18.5703125" bestFit="1" customWidth="1"/>
    <col min="5639" max="5639" width="14" bestFit="1" customWidth="1"/>
    <col min="5889" max="5889" width="12" bestFit="1" customWidth="1"/>
    <col min="5890" max="5890" width="17.28515625" bestFit="1" customWidth="1"/>
    <col min="5891" max="5891" width="11.28515625" bestFit="1" customWidth="1"/>
    <col min="5892" max="5892" width="11.42578125" bestFit="1" customWidth="1"/>
    <col min="5893" max="5893" width="19.5703125" bestFit="1" customWidth="1"/>
    <col min="5894" max="5894" width="18.5703125" bestFit="1" customWidth="1"/>
    <col min="5895" max="5895" width="14" bestFit="1" customWidth="1"/>
    <col min="6145" max="6145" width="12" bestFit="1" customWidth="1"/>
    <col min="6146" max="6146" width="17.28515625" bestFit="1" customWidth="1"/>
    <col min="6147" max="6147" width="11.28515625" bestFit="1" customWidth="1"/>
    <col min="6148" max="6148" width="11.42578125" bestFit="1" customWidth="1"/>
    <col min="6149" max="6149" width="19.5703125" bestFit="1" customWidth="1"/>
    <col min="6150" max="6150" width="18.5703125" bestFit="1" customWidth="1"/>
    <col min="6151" max="6151" width="14" bestFit="1" customWidth="1"/>
    <col min="6401" max="6401" width="12" bestFit="1" customWidth="1"/>
    <col min="6402" max="6402" width="17.28515625" bestFit="1" customWidth="1"/>
    <col min="6403" max="6403" width="11.28515625" bestFit="1" customWidth="1"/>
    <col min="6404" max="6404" width="11.42578125" bestFit="1" customWidth="1"/>
    <col min="6405" max="6405" width="19.5703125" bestFit="1" customWidth="1"/>
    <col min="6406" max="6406" width="18.5703125" bestFit="1" customWidth="1"/>
    <col min="6407" max="6407" width="14" bestFit="1" customWidth="1"/>
    <col min="6657" max="6657" width="12" bestFit="1" customWidth="1"/>
    <col min="6658" max="6658" width="17.28515625" bestFit="1" customWidth="1"/>
    <col min="6659" max="6659" width="11.28515625" bestFit="1" customWidth="1"/>
    <col min="6660" max="6660" width="11.42578125" bestFit="1" customWidth="1"/>
    <col min="6661" max="6661" width="19.5703125" bestFit="1" customWidth="1"/>
    <col min="6662" max="6662" width="18.5703125" bestFit="1" customWidth="1"/>
    <col min="6663" max="6663" width="14" bestFit="1" customWidth="1"/>
    <col min="6913" max="6913" width="12" bestFit="1" customWidth="1"/>
    <col min="6914" max="6914" width="17.28515625" bestFit="1" customWidth="1"/>
    <col min="6915" max="6915" width="11.28515625" bestFit="1" customWidth="1"/>
    <col min="6916" max="6916" width="11.42578125" bestFit="1" customWidth="1"/>
    <col min="6917" max="6917" width="19.5703125" bestFit="1" customWidth="1"/>
    <col min="6918" max="6918" width="18.5703125" bestFit="1" customWidth="1"/>
    <col min="6919" max="6919" width="14" bestFit="1" customWidth="1"/>
    <col min="7169" max="7169" width="12" bestFit="1" customWidth="1"/>
    <col min="7170" max="7170" width="17.28515625" bestFit="1" customWidth="1"/>
    <col min="7171" max="7171" width="11.28515625" bestFit="1" customWidth="1"/>
    <col min="7172" max="7172" width="11.42578125" bestFit="1" customWidth="1"/>
    <col min="7173" max="7173" width="19.5703125" bestFit="1" customWidth="1"/>
    <col min="7174" max="7174" width="18.5703125" bestFit="1" customWidth="1"/>
    <col min="7175" max="7175" width="14" bestFit="1" customWidth="1"/>
    <col min="7425" max="7425" width="12" bestFit="1" customWidth="1"/>
    <col min="7426" max="7426" width="17.28515625" bestFit="1" customWidth="1"/>
    <col min="7427" max="7427" width="11.28515625" bestFit="1" customWidth="1"/>
    <col min="7428" max="7428" width="11.42578125" bestFit="1" customWidth="1"/>
    <col min="7429" max="7429" width="19.5703125" bestFit="1" customWidth="1"/>
    <col min="7430" max="7430" width="18.5703125" bestFit="1" customWidth="1"/>
    <col min="7431" max="7431" width="14" bestFit="1" customWidth="1"/>
    <col min="7681" max="7681" width="12" bestFit="1" customWidth="1"/>
    <col min="7682" max="7682" width="17.28515625" bestFit="1" customWidth="1"/>
    <col min="7683" max="7683" width="11.28515625" bestFit="1" customWidth="1"/>
    <col min="7684" max="7684" width="11.42578125" bestFit="1" customWidth="1"/>
    <col min="7685" max="7685" width="19.5703125" bestFit="1" customWidth="1"/>
    <col min="7686" max="7686" width="18.5703125" bestFit="1" customWidth="1"/>
    <col min="7687" max="7687" width="14" bestFit="1" customWidth="1"/>
    <col min="7937" max="7937" width="12" bestFit="1" customWidth="1"/>
    <col min="7938" max="7938" width="17.28515625" bestFit="1" customWidth="1"/>
    <col min="7939" max="7939" width="11.28515625" bestFit="1" customWidth="1"/>
    <col min="7940" max="7940" width="11.42578125" bestFit="1" customWidth="1"/>
    <col min="7941" max="7941" width="19.5703125" bestFit="1" customWidth="1"/>
    <col min="7942" max="7942" width="18.5703125" bestFit="1" customWidth="1"/>
    <col min="7943" max="7943" width="14" bestFit="1" customWidth="1"/>
    <col min="8193" max="8193" width="12" bestFit="1" customWidth="1"/>
    <col min="8194" max="8194" width="17.28515625" bestFit="1" customWidth="1"/>
    <col min="8195" max="8195" width="11.28515625" bestFit="1" customWidth="1"/>
    <col min="8196" max="8196" width="11.42578125" bestFit="1" customWidth="1"/>
    <col min="8197" max="8197" width="19.5703125" bestFit="1" customWidth="1"/>
    <col min="8198" max="8198" width="18.5703125" bestFit="1" customWidth="1"/>
    <col min="8199" max="8199" width="14" bestFit="1" customWidth="1"/>
    <col min="8449" max="8449" width="12" bestFit="1" customWidth="1"/>
    <col min="8450" max="8450" width="17.28515625" bestFit="1" customWidth="1"/>
    <col min="8451" max="8451" width="11.28515625" bestFit="1" customWidth="1"/>
    <col min="8452" max="8452" width="11.42578125" bestFit="1" customWidth="1"/>
    <col min="8453" max="8453" width="19.5703125" bestFit="1" customWidth="1"/>
    <col min="8454" max="8454" width="18.5703125" bestFit="1" customWidth="1"/>
    <col min="8455" max="8455" width="14" bestFit="1" customWidth="1"/>
    <col min="8705" max="8705" width="12" bestFit="1" customWidth="1"/>
    <col min="8706" max="8706" width="17.28515625" bestFit="1" customWidth="1"/>
    <col min="8707" max="8707" width="11.28515625" bestFit="1" customWidth="1"/>
    <col min="8708" max="8708" width="11.42578125" bestFit="1" customWidth="1"/>
    <col min="8709" max="8709" width="19.5703125" bestFit="1" customWidth="1"/>
    <col min="8710" max="8710" width="18.5703125" bestFit="1" customWidth="1"/>
    <col min="8711" max="8711" width="14" bestFit="1" customWidth="1"/>
    <col min="8961" max="8961" width="12" bestFit="1" customWidth="1"/>
    <col min="8962" max="8962" width="17.28515625" bestFit="1" customWidth="1"/>
    <col min="8963" max="8963" width="11.28515625" bestFit="1" customWidth="1"/>
    <col min="8964" max="8964" width="11.42578125" bestFit="1" customWidth="1"/>
    <col min="8965" max="8965" width="19.5703125" bestFit="1" customWidth="1"/>
    <col min="8966" max="8966" width="18.5703125" bestFit="1" customWidth="1"/>
    <col min="8967" max="8967" width="14" bestFit="1" customWidth="1"/>
    <col min="9217" max="9217" width="12" bestFit="1" customWidth="1"/>
    <col min="9218" max="9218" width="17.28515625" bestFit="1" customWidth="1"/>
    <col min="9219" max="9219" width="11.28515625" bestFit="1" customWidth="1"/>
    <col min="9220" max="9220" width="11.42578125" bestFit="1" customWidth="1"/>
    <col min="9221" max="9221" width="19.5703125" bestFit="1" customWidth="1"/>
    <col min="9222" max="9222" width="18.5703125" bestFit="1" customWidth="1"/>
    <col min="9223" max="9223" width="14" bestFit="1" customWidth="1"/>
    <col min="9473" max="9473" width="12" bestFit="1" customWidth="1"/>
    <col min="9474" max="9474" width="17.28515625" bestFit="1" customWidth="1"/>
    <col min="9475" max="9475" width="11.28515625" bestFit="1" customWidth="1"/>
    <col min="9476" max="9476" width="11.42578125" bestFit="1" customWidth="1"/>
    <col min="9477" max="9477" width="19.5703125" bestFit="1" customWidth="1"/>
    <col min="9478" max="9478" width="18.5703125" bestFit="1" customWidth="1"/>
    <col min="9479" max="9479" width="14" bestFit="1" customWidth="1"/>
    <col min="9729" max="9729" width="12" bestFit="1" customWidth="1"/>
    <col min="9730" max="9730" width="17.28515625" bestFit="1" customWidth="1"/>
    <col min="9731" max="9731" width="11.28515625" bestFit="1" customWidth="1"/>
    <col min="9732" max="9732" width="11.42578125" bestFit="1" customWidth="1"/>
    <col min="9733" max="9733" width="19.5703125" bestFit="1" customWidth="1"/>
    <col min="9734" max="9734" width="18.5703125" bestFit="1" customWidth="1"/>
    <col min="9735" max="9735" width="14" bestFit="1" customWidth="1"/>
    <col min="9985" max="9985" width="12" bestFit="1" customWidth="1"/>
    <col min="9986" max="9986" width="17.28515625" bestFit="1" customWidth="1"/>
    <col min="9987" max="9987" width="11.28515625" bestFit="1" customWidth="1"/>
    <col min="9988" max="9988" width="11.42578125" bestFit="1" customWidth="1"/>
    <col min="9989" max="9989" width="19.5703125" bestFit="1" customWidth="1"/>
    <col min="9990" max="9990" width="18.5703125" bestFit="1" customWidth="1"/>
    <col min="9991" max="9991" width="14" bestFit="1" customWidth="1"/>
    <col min="10241" max="10241" width="12" bestFit="1" customWidth="1"/>
    <col min="10242" max="10242" width="17.28515625" bestFit="1" customWidth="1"/>
    <col min="10243" max="10243" width="11.28515625" bestFit="1" customWidth="1"/>
    <col min="10244" max="10244" width="11.42578125" bestFit="1" customWidth="1"/>
    <col min="10245" max="10245" width="19.5703125" bestFit="1" customWidth="1"/>
    <col min="10246" max="10246" width="18.5703125" bestFit="1" customWidth="1"/>
    <col min="10247" max="10247" width="14" bestFit="1" customWidth="1"/>
    <col min="10497" max="10497" width="12" bestFit="1" customWidth="1"/>
    <col min="10498" max="10498" width="17.28515625" bestFit="1" customWidth="1"/>
    <col min="10499" max="10499" width="11.28515625" bestFit="1" customWidth="1"/>
    <col min="10500" max="10500" width="11.42578125" bestFit="1" customWidth="1"/>
    <col min="10501" max="10501" width="19.5703125" bestFit="1" customWidth="1"/>
    <col min="10502" max="10502" width="18.5703125" bestFit="1" customWidth="1"/>
    <col min="10503" max="10503" width="14" bestFit="1" customWidth="1"/>
    <col min="10753" max="10753" width="12" bestFit="1" customWidth="1"/>
    <col min="10754" max="10754" width="17.28515625" bestFit="1" customWidth="1"/>
    <col min="10755" max="10755" width="11.28515625" bestFit="1" customWidth="1"/>
    <col min="10756" max="10756" width="11.42578125" bestFit="1" customWidth="1"/>
    <col min="10757" max="10757" width="19.5703125" bestFit="1" customWidth="1"/>
    <col min="10758" max="10758" width="18.5703125" bestFit="1" customWidth="1"/>
    <col min="10759" max="10759" width="14" bestFit="1" customWidth="1"/>
    <col min="11009" max="11009" width="12" bestFit="1" customWidth="1"/>
    <col min="11010" max="11010" width="17.28515625" bestFit="1" customWidth="1"/>
    <col min="11011" max="11011" width="11.28515625" bestFit="1" customWidth="1"/>
    <col min="11012" max="11012" width="11.42578125" bestFit="1" customWidth="1"/>
    <col min="11013" max="11013" width="19.5703125" bestFit="1" customWidth="1"/>
    <col min="11014" max="11014" width="18.5703125" bestFit="1" customWidth="1"/>
    <col min="11015" max="11015" width="14" bestFit="1" customWidth="1"/>
    <col min="11265" max="11265" width="12" bestFit="1" customWidth="1"/>
    <col min="11266" max="11266" width="17.28515625" bestFit="1" customWidth="1"/>
    <col min="11267" max="11267" width="11.28515625" bestFit="1" customWidth="1"/>
    <col min="11268" max="11268" width="11.42578125" bestFit="1" customWidth="1"/>
    <col min="11269" max="11269" width="19.5703125" bestFit="1" customWidth="1"/>
    <col min="11270" max="11270" width="18.5703125" bestFit="1" customWidth="1"/>
    <col min="11271" max="11271" width="14" bestFit="1" customWidth="1"/>
    <col min="11521" max="11521" width="12" bestFit="1" customWidth="1"/>
    <col min="11522" max="11522" width="17.28515625" bestFit="1" customWidth="1"/>
    <col min="11523" max="11523" width="11.28515625" bestFit="1" customWidth="1"/>
    <col min="11524" max="11524" width="11.42578125" bestFit="1" customWidth="1"/>
    <col min="11525" max="11525" width="19.5703125" bestFit="1" customWidth="1"/>
    <col min="11526" max="11526" width="18.5703125" bestFit="1" customWidth="1"/>
    <col min="11527" max="11527" width="14" bestFit="1" customWidth="1"/>
    <col min="11777" max="11777" width="12" bestFit="1" customWidth="1"/>
    <col min="11778" max="11778" width="17.28515625" bestFit="1" customWidth="1"/>
    <col min="11779" max="11779" width="11.28515625" bestFit="1" customWidth="1"/>
    <col min="11780" max="11780" width="11.42578125" bestFit="1" customWidth="1"/>
    <col min="11781" max="11781" width="19.5703125" bestFit="1" customWidth="1"/>
    <col min="11782" max="11782" width="18.5703125" bestFit="1" customWidth="1"/>
    <col min="11783" max="11783" width="14" bestFit="1" customWidth="1"/>
    <col min="12033" max="12033" width="12" bestFit="1" customWidth="1"/>
    <col min="12034" max="12034" width="17.28515625" bestFit="1" customWidth="1"/>
    <col min="12035" max="12035" width="11.28515625" bestFit="1" customWidth="1"/>
    <col min="12036" max="12036" width="11.42578125" bestFit="1" customWidth="1"/>
    <col min="12037" max="12037" width="19.5703125" bestFit="1" customWidth="1"/>
    <col min="12038" max="12038" width="18.5703125" bestFit="1" customWidth="1"/>
    <col min="12039" max="12039" width="14" bestFit="1" customWidth="1"/>
    <col min="12289" max="12289" width="12" bestFit="1" customWidth="1"/>
    <col min="12290" max="12290" width="17.28515625" bestFit="1" customWidth="1"/>
    <col min="12291" max="12291" width="11.28515625" bestFit="1" customWidth="1"/>
    <col min="12292" max="12292" width="11.42578125" bestFit="1" customWidth="1"/>
    <col min="12293" max="12293" width="19.5703125" bestFit="1" customWidth="1"/>
    <col min="12294" max="12294" width="18.5703125" bestFit="1" customWidth="1"/>
    <col min="12295" max="12295" width="14" bestFit="1" customWidth="1"/>
    <col min="12545" max="12545" width="12" bestFit="1" customWidth="1"/>
    <col min="12546" max="12546" width="17.28515625" bestFit="1" customWidth="1"/>
    <col min="12547" max="12547" width="11.28515625" bestFit="1" customWidth="1"/>
    <col min="12548" max="12548" width="11.42578125" bestFit="1" customWidth="1"/>
    <col min="12549" max="12549" width="19.5703125" bestFit="1" customWidth="1"/>
    <col min="12550" max="12550" width="18.5703125" bestFit="1" customWidth="1"/>
    <col min="12551" max="12551" width="14" bestFit="1" customWidth="1"/>
    <col min="12801" max="12801" width="12" bestFit="1" customWidth="1"/>
    <col min="12802" max="12802" width="17.28515625" bestFit="1" customWidth="1"/>
    <col min="12803" max="12803" width="11.28515625" bestFit="1" customWidth="1"/>
    <col min="12804" max="12804" width="11.42578125" bestFit="1" customWidth="1"/>
    <col min="12805" max="12805" width="19.5703125" bestFit="1" customWidth="1"/>
    <col min="12806" max="12806" width="18.5703125" bestFit="1" customWidth="1"/>
    <col min="12807" max="12807" width="14" bestFit="1" customWidth="1"/>
    <col min="13057" max="13057" width="12" bestFit="1" customWidth="1"/>
    <col min="13058" max="13058" width="17.28515625" bestFit="1" customWidth="1"/>
    <col min="13059" max="13059" width="11.28515625" bestFit="1" customWidth="1"/>
    <col min="13060" max="13060" width="11.42578125" bestFit="1" customWidth="1"/>
    <col min="13061" max="13061" width="19.5703125" bestFit="1" customWidth="1"/>
    <col min="13062" max="13062" width="18.5703125" bestFit="1" customWidth="1"/>
    <col min="13063" max="13063" width="14" bestFit="1" customWidth="1"/>
    <col min="13313" max="13313" width="12" bestFit="1" customWidth="1"/>
    <col min="13314" max="13314" width="17.28515625" bestFit="1" customWidth="1"/>
    <col min="13315" max="13315" width="11.28515625" bestFit="1" customWidth="1"/>
    <col min="13316" max="13316" width="11.42578125" bestFit="1" customWidth="1"/>
    <col min="13317" max="13317" width="19.5703125" bestFit="1" customWidth="1"/>
    <col min="13318" max="13318" width="18.5703125" bestFit="1" customWidth="1"/>
    <col min="13319" max="13319" width="14" bestFit="1" customWidth="1"/>
    <col min="13569" max="13569" width="12" bestFit="1" customWidth="1"/>
    <col min="13570" max="13570" width="17.28515625" bestFit="1" customWidth="1"/>
    <col min="13571" max="13571" width="11.28515625" bestFit="1" customWidth="1"/>
    <col min="13572" max="13572" width="11.42578125" bestFit="1" customWidth="1"/>
    <col min="13573" max="13573" width="19.5703125" bestFit="1" customWidth="1"/>
    <col min="13574" max="13574" width="18.5703125" bestFit="1" customWidth="1"/>
    <col min="13575" max="13575" width="14" bestFit="1" customWidth="1"/>
    <col min="13825" max="13825" width="12" bestFit="1" customWidth="1"/>
    <col min="13826" max="13826" width="17.28515625" bestFit="1" customWidth="1"/>
    <col min="13827" max="13827" width="11.28515625" bestFit="1" customWidth="1"/>
    <col min="13828" max="13828" width="11.42578125" bestFit="1" customWidth="1"/>
    <col min="13829" max="13829" width="19.5703125" bestFit="1" customWidth="1"/>
    <col min="13830" max="13830" width="18.5703125" bestFit="1" customWidth="1"/>
    <col min="13831" max="13831" width="14" bestFit="1" customWidth="1"/>
    <col min="14081" max="14081" width="12" bestFit="1" customWidth="1"/>
    <col min="14082" max="14082" width="17.28515625" bestFit="1" customWidth="1"/>
    <col min="14083" max="14083" width="11.28515625" bestFit="1" customWidth="1"/>
    <col min="14084" max="14084" width="11.42578125" bestFit="1" customWidth="1"/>
    <col min="14085" max="14085" width="19.5703125" bestFit="1" customWidth="1"/>
    <col min="14086" max="14086" width="18.5703125" bestFit="1" customWidth="1"/>
    <col min="14087" max="14087" width="14" bestFit="1" customWidth="1"/>
    <col min="14337" max="14337" width="12" bestFit="1" customWidth="1"/>
    <col min="14338" max="14338" width="17.28515625" bestFit="1" customWidth="1"/>
    <col min="14339" max="14339" width="11.28515625" bestFit="1" customWidth="1"/>
    <col min="14340" max="14340" width="11.42578125" bestFit="1" customWidth="1"/>
    <col min="14341" max="14341" width="19.5703125" bestFit="1" customWidth="1"/>
    <col min="14342" max="14342" width="18.5703125" bestFit="1" customWidth="1"/>
    <col min="14343" max="14343" width="14" bestFit="1" customWidth="1"/>
    <col min="14593" max="14593" width="12" bestFit="1" customWidth="1"/>
    <col min="14594" max="14594" width="17.28515625" bestFit="1" customWidth="1"/>
    <col min="14595" max="14595" width="11.28515625" bestFit="1" customWidth="1"/>
    <col min="14596" max="14596" width="11.42578125" bestFit="1" customWidth="1"/>
    <col min="14597" max="14597" width="19.5703125" bestFit="1" customWidth="1"/>
    <col min="14598" max="14598" width="18.5703125" bestFit="1" customWidth="1"/>
    <col min="14599" max="14599" width="14" bestFit="1" customWidth="1"/>
    <col min="14849" max="14849" width="12" bestFit="1" customWidth="1"/>
    <col min="14850" max="14850" width="17.28515625" bestFit="1" customWidth="1"/>
    <col min="14851" max="14851" width="11.28515625" bestFit="1" customWidth="1"/>
    <col min="14852" max="14852" width="11.42578125" bestFit="1" customWidth="1"/>
    <col min="14853" max="14853" width="19.5703125" bestFit="1" customWidth="1"/>
    <col min="14854" max="14854" width="18.5703125" bestFit="1" customWidth="1"/>
    <col min="14855" max="14855" width="14" bestFit="1" customWidth="1"/>
    <col min="15105" max="15105" width="12" bestFit="1" customWidth="1"/>
    <col min="15106" max="15106" width="17.28515625" bestFit="1" customWidth="1"/>
    <col min="15107" max="15107" width="11.28515625" bestFit="1" customWidth="1"/>
    <col min="15108" max="15108" width="11.42578125" bestFit="1" customWidth="1"/>
    <col min="15109" max="15109" width="19.5703125" bestFit="1" customWidth="1"/>
    <col min="15110" max="15110" width="18.5703125" bestFit="1" customWidth="1"/>
    <col min="15111" max="15111" width="14" bestFit="1" customWidth="1"/>
    <col min="15361" max="15361" width="12" bestFit="1" customWidth="1"/>
    <col min="15362" max="15362" width="17.28515625" bestFit="1" customWidth="1"/>
    <col min="15363" max="15363" width="11.28515625" bestFit="1" customWidth="1"/>
    <col min="15364" max="15364" width="11.42578125" bestFit="1" customWidth="1"/>
    <col min="15365" max="15365" width="19.5703125" bestFit="1" customWidth="1"/>
    <col min="15366" max="15366" width="18.5703125" bestFit="1" customWidth="1"/>
    <col min="15367" max="15367" width="14" bestFit="1" customWidth="1"/>
    <col min="15617" max="15617" width="12" bestFit="1" customWidth="1"/>
    <col min="15618" max="15618" width="17.28515625" bestFit="1" customWidth="1"/>
    <col min="15619" max="15619" width="11.28515625" bestFit="1" customWidth="1"/>
    <col min="15620" max="15620" width="11.42578125" bestFit="1" customWidth="1"/>
    <col min="15621" max="15621" width="19.5703125" bestFit="1" customWidth="1"/>
    <col min="15622" max="15622" width="18.5703125" bestFit="1" customWidth="1"/>
    <col min="15623" max="15623" width="14" bestFit="1" customWidth="1"/>
    <col min="15873" max="15873" width="12" bestFit="1" customWidth="1"/>
    <col min="15874" max="15874" width="17.28515625" bestFit="1" customWidth="1"/>
    <col min="15875" max="15875" width="11.28515625" bestFit="1" customWidth="1"/>
    <col min="15876" max="15876" width="11.42578125" bestFit="1" customWidth="1"/>
    <col min="15877" max="15877" width="19.5703125" bestFit="1" customWidth="1"/>
    <col min="15878" max="15878" width="18.5703125" bestFit="1" customWidth="1"/>
    <col min="15879" max="15879" width="14" bestFit="1" customWidth="1"/>
    <col min="16129" max="16129" width="12" bestFit="1" customWidth="1"/>
    <col min="16130" max="16130" width="17.28515625" bestFit="1" customWidth="1"/>
    <col min="16131" max="16131" width="11.28515625" bestFit="1" customWidth="1"/>
    <col min="16132" max="16132" width="11.42578125" bestFit="1" customWidth="1"/>
    <col min="16133" max="16133" width="19.5703125" bestFit="1" customWidth="1"/>
    <col min="16134" max="16134" width="18.5703125" bestFit="1" customWidth="1"/>
    <col min="16135" max="16135" width="14" bestFit="1" customWidth="1"/>
  </cols>
  <sheetData>
    <row r="1" spans="1:8">
      <c r="A1" t="s">
        <v>129</v>
      </c>
      <c r="B1" t="s">
        <v>130</v>
      </c>
      <c r="C1" t="s">
        <v>1784</v>
      </c>
      <c r="D1" t="s">
        <v>1785</v>
      </c>
      <c r="E1" t="s">
        <v>1786</v>
      </c>
      <c r="F1" t="s">
        <v>1787</v>
      </c>
      <c r="G1" t="s">
        <v>0</v>
      </c>
    </row>
    <row r="2" spans="1:8">
      <c r="A2" s="1">
        <v>59</v>
      </c>
      <c r="B2" t="s">
        <v>1788</v>
      </c>
      <c r="C2" s="9">
        <v>40634</v>
      </c>
      <c r="D2" t="s">
        <v>1789</v>
      </c>
      <c r="E2" s="10">
        <v>239.60636399999999</v>
      </c>
      <c r="F2" s="11">
        <v>0.02</v>
      </c>
      <c r="G2" t="s">
        <v>6</v>
      </c>
    </row>
    <row r="3" spans="1:8">
      <c r="A3" s="1">
        <v>59</v>
      </c>
      <c r="B3" t="s">
        <v>340</v>
      </c>
      <c r="C3" s="9">
        <v>40252</v>
      </c>
      <c r="D3" t="s">
        <v>1789</v>
      </c>
      <c r="E3" s="10">
        <v>234.90819999999999</v>
      </c>
      <c r="F3" s="11">
        <v>0.02</v>
      </c>
      <c r="G3" t="s">
        <v>6</v>
      </c>
    </row>
    <row r="4" spans="1:8">
      <c r="A4" s="1">
        <v>59</v>
      </c>
      <c r="B4" t="s">
        <v>340</v>
      </c>
      <c r="C4" s="9">
        <v>40252</v>
      </c>
      <c r="D4" s="26" t="s">
        <v>1790</v>
      </c>
      <c r="E4" s="10">
        <v>234.90819999999999</v>
      </c>
      <c r="F4" s="11">
        <v>0.02</v>
      </c>
      <c r="G4" t="s">
        <v>6</v>
      </c>
    </row>
    <row r="5" spans="1:8">
      <c r="A5" s="1">
        <v>59</v>
      </c>
      <c r="B5" t="s">
        <v>340</v>
      </c>
      <c r="C5" s="9">
        <v>40252</v>
      </c>
      <c r="D5" s="26" t="s">
        <v>1790</v>
      </c>
      <c r="E5" s="10">
        <v>234.90819999999999</v>
      </c>
      <c r="F5" s="11">
        <v>0.02</v>
      </c>
      <c r="G5" t="s">
        <v>6</v>
      </c>
    </row>
    <row r="6" spans="1:8">
      <c r="A6" s="1">
        <v>59</v>
      </c>
      <c r="B6" t="s">
        <v>340</v>
      </c>
      <c r="C6" s="9">
        <v>40252</v>
      </c>
      <c r="D6" s="26" t="s">
        <v>1790</v>
      </c>
      <c r="E6" s="10">
        <v>800.5</v>
      </c>
      <c r="F6" s="11">
        <v>0.02</v>
      </c>
      <c r="G6" t="s">
        <v>6</v>
      </c>
    </row>
    <row r="7" spans="1:8">
      <c r="A7" s="1">
        <v>59</v>
      </c>
      <c r="B7" t="s">
        <v>340</v>
      </c>
      <c r="C7" s="9">
        <v>40617</v>
      </c>
      <c r="D7" s="26" t="s">
        <v>1791</v>
      </c>
      <c r="E7" s="10">
        <v>234.90819999999999</v>
      </c>
      <c r="F7" s="11">
        <v>0.02</v>
      </c>
      <c r="G7" t="s">
        <v>6</v>
      </c>
    </row>
    <row r="8" spans="1:8">
      <c r="A8" s="1">
        <v>59</v>
      </c>
      <c r="B8" t="s">
        <v>340</v>
      </c>
      <c r="C8" s="9">
        <v>40617</v>
      </c>
      <c r="D8" s="26" t="s">
        <v>1791</v>
      </c>
      <c r="E8" s="10">
        <v>356.23</v>
      </c>
      <c r="F8" s="11">
        <v>0.02</v>
      </c>
      <c r="G8" t="s">
        <v>6</v>
      </c>
    </row>
    <row r="9" spans="1:8">
      <c r="A9" s="1">
        <v>70</v>
      </c>
      <c r="B9" t="s">
        <v>336</v>
      </c>
      <c r="C9" s="9">
        <v>40634</v>
      </c>
      <c r="D9" t="s">
        <v>1789</v>
      </c>
      <c r="E9" s="10">
        <v>356.23</v>
      </c>
      <c r="F9" s="11">
        <v>0.02</v>
      </c>
      <c r="G9" t="s">
        <v>6</v>
      </c>
    </row>
    <row r="10" spans="1:8">
      <c r="A10" s="1">
        <v>70</v>
      </c>
      <c r="B10" t="s">
        <v>336</v>
      </c>
      <c r="C10" s="9">
        <v>40252</v>
      </c>
      <c r="D10" t="s">
        <v>1789</v>
      </c>
      <c r="E10" s="10">
        <v>240.90220000000002</v>
      </c>
      <c r="F10" s="11">
        <v>0.02</v>
      </c>
      <c r="G10" t="s">
        <v>6</v>
      </c>
    </row>
    <row r="11" spans="1:8">
      <c r="A11" s="1">
        <v>72</v>
      </c>
      <c r="B11" t="s">
        <v>319</v>
      </c>
      <c r="C11" s="9">
        <v>40634</v>
      </c>
      <c r="D11" t="s">
        <v>1789</v>
      </c>
      <c r="E11" s="10">
        <v>1606.074124</v>
      </c>
      <c r="F11" s="11">
        <v>0.01</v>
      </c>
      <c r="G11" t="s">
        <v>6</v>
      </c>
      <c r="H11" t="s">
        <v>1792</v>
      </c>
    </row>
    <row r="12" spans="1:8">
      <c r="A12" s="1">
        <v>72</v>
      </c>
      <c r="B12" t="s">
        <v>319</v>
      </c>
      <c r="C12" s="9">
        <v>40252</v>
      </c>
      <c r="D12" t="s">
        <v>1789</v>
      </c>
      <c r="E12" s="10">
        <v>1590.1723999999999</v>
      </c>
      <c r="F12" s="11">
        <v>0.01</v>
      </c>
      <c r="G12" t="s">
        <v>6</v>
      </c>
    </row>
    <row r="13" spans="1:8">
      <c r="A13" s="1">
        <v>73</v>
      </c>
      <c r="B13" t="s">
        <v>253</v>
      </c>
      <c r="C13" s="9">
        <v>40634</v>
      </c>
      <c r="D13" t="s">
        <v>1789</v>
      </c>
      <c r="E13" s="10">
        <v>1143.8251009999999</v>
      </c>
      <c r="F13" s="11">
        <v>0.01</v>
      </c>
      <c r="G13" t="s">
        <v>6</v>
      </c>
    </row>
    <row r="14" spans="1:8">
      <c r="A14" s="1">
        <v>73</v>
      </c>
      <c r="B14" t="s">
        <v>253</v>
      </c>
      <c r="C14" s="9">
        <v>40252</v>
      </c>
      <c r="D14" t="s">
        <v>1789</v>
      </c>
      <c r="E14" s="10">
        <v>1132.5001</v>
      </c>
      <c r="F14" s="11">
        <v>0.01</v>
      </c>
      <c r="G14" t="s">
        <v>6</v>
      </c>
    </row>
    <row r="15" spans="1:8">
      <c r="A15" s="1">
        <v>80</v>
      </c>
      <c r="B15" t="s">
        <v>174</v>
      </c>
      <c r="C15" s="9">
        <v>40634</v>
      </c>
      <c r="D15" t="s">
        <v>1789</v>
      </c>
      <c r="E15" s="10">
        <v>1915.9805279999998</v>
      </c>
      <c r="F15" s="11">
        <v>0.06</v>
      </c>
      <c r="G15" t="s">
        <v>6</v>
      </c>
    </row>
    <row r="16" spans="1:8">
      <c r="A16" s="1">
        <v>80</v>
      </c>
      <c r="B16" t="s">
        <v>174</v>
      </c>
      <c r="C16" s="9">
        <v>40252</v>
      </c>
      <c r="D16" t="s">
        <v>1789</v>
      </c>
      <c r="E16" s="10">
        <v>1807.5287999999998</v>
      </c>
      <c r="F16" s="11">
        <v>0.06</v>
      </c>
      <c r="G16" t="s">
        <v>6</v>
      </c>
    </row>
    <row r="17" spans="1:7">
      <c r="A17" s="1">
        <v>86</v>
      </c>
      <c r="B17" t="s">
        <v>310</v>
      </c>
      <c r="C17" s="9">
        <v>40634</v>
      </c>
      <c r="D17" t="s">
        <v>1789</v>
      </c>
      <c r="E17" s="10">
        <v>1389.7363319999999</v>
      </c>
      <c r="F17" s="11">
        <v>0.02</v>
      </c>
      <c r="G17" t="s">
        <v>6</v>
      </c>
    </row>
    <row r="18" spans="1:7">
      <c r="A18" s="1">
        <v>86</v>
      </c>
      <c r="B18" t="s">
        <v>310</v>
      </c>
      <c r="C18" s="9">
        <v>40252</v>
      </c>
      <c r="D18" t="s">
        <v>1789</v>
      </c>
      <c r="E18" s="10">
        <v>1362.4866</v>
      </c>
      <c r="F18" s="11">
        <v>0.02</v>
      </c>
      <c r="G18" t="s">
        <v>6</v>
      </c>
    </row>
    <row r="19" spans="1:7">
      <c r="A19" s="1">
        <v>88</v>
      </c>
      <c r="B19" t="s">
        <v>261</v>
      </c>
      <c r="C19" s="9">
        <v>40634</v>
      </c>
      <c r="D19" t="s">
        <v>1789</v>
      </c>
      <c r="E19" s="10">
        <v>85.408288249999998</v>
      </c>
      <c r="F19" s="11">
        <v>2.5000000000000001E-3</v>
      </c>
      <c r="G19" t="s">
        <v>6</v>
      </c>
    </row>
    <row r="20" spans="1:7">
      <c r="A20" s="1">
        <v>88</v>
      </c>
      <c r="B20" t="s">
        <v>261</v>
      </c>
      <c r="C20" s="9">
        <v>40252</v>
      </c>
      <c r="D20" t="s">
        <v>1789</v>
      </c>
      <c r="E20" s="10">
        <v>85.195300000000003</v>
      </c>
      <c r="F20" s="11">
        <v>2.5000000000000001E-3</v>
      </c>
      <c r="G20" t="s">
        <v>6</v>
      </c>
    </row>
    <row r="21" spans="1:7">
      <c r="A21" s="1">
        <v>89</v>
      </c>
      <c r="B21" t="s">
        <v>315</v>
      </c>
      <c r="C21" s="9">
        <v>40634</v>
      </c>
      <c r="D21" t="s">
        <v>1789</v>
      </c>
      <c r="E21" s="10">
        <v>382.23470199999997</v>
      </c>
      <c r="F21" s="11">
        <v>0.01</v>
      </c>
      <c r="G21" t="s">
        <v>6</v>
      </c>
    </row>
    <row r="22" spans="1:7">
      <c r="A22" s="1">
        <v>89</v>
      </c>
      <c r="B22" t="s">
        <v>315</v>
      </c>
      <c r="C22" s="9">
        <v>40252</v>
      </c>
      <c r="D22" t="s">
        <v>1789</v>
      </c>
      <c r="E22" s="10">
        <v>378.4502</v>
      </c>
      <c r="F22" s="11">
        <v>0.01</v>
      </c>
      <c r="G22" t="s">
        <v>6</v>
      </c>
    </row>
    <row r="23" spans="1:7">
      <c r="A23" s="1">
        <v>91</v>
      </c>
      <c r="B23" t="s">
        <v>265</v>
      </c>
      <c r="C23" s="9">
        <v>40634</v>
      </c>
      <c r="D23" t="s">
        <v>1789</v>
      </c>
      <c r="E23" s="10">
        <v>192.15381300000001</v>
      </c>
      <c r="F23" s="11">
        <v>0.01</v>
      </c>
      <c r="G23" t="s">
        <v>6</v>
      </c>
    </row>
    <row r="24" spans="1:7">
      <c r="A24" s="1">
        <v>91</v>
      </c>
      <c r="B24" t="s">
        <v>265</v>
      </c>
      <c r="C24" s="9">
        <v>40252</v>
      </c>
      <c r="D24" t="s">
        <v>1789</v>
      </c>
      <c r="E24" s="10">
        <v>190.25130000000001</v>
      </c>
      <c r="F24" s="11">
        <v>0.01</v>
      </c>
      <c r="G24" t="s">
        <v>6</v>
      </c>
    </row>
    <row r="25" spans="1:7">
      <c r="A25" s="1">
        <v>92</v>
      </c>
      <c r="B25" t="s">
        <v>269</v>
      </c>
      <c r="C25" s="9">
        <v>40634</v>
      </c>
      <c r="D25" t="s">
        <v>1789</v>
      </c>
      <c r="E25" s="10">
        <v>1122.6791679999999</v>
      </c>
      <c r="F25" s="11">
        <v>0.04</v>
      </c>
      <c r="G25" t="s">
        <v>6</v>
      </c>
    </row>
    <row r="26" spans="1:7">
      <c r="A26" s="1">
        <v>92</v>
      </c>
      <c r="B26" t="s">
        <v>269</v>
      </c>
      <c r="C26" s="9">
        <v>40252</v>
      </c>
      <c r="D26" t="s">
        <v>1789</v>
      </c>
      <c r="E26" s="10">
        <v>1079.4992</v>
      </c>
      <c r="F26" s="11">
        <v>0.04</v>
      </c>
      <c r="G26" t="s">
        <v>6</v>
      </c>
    </row>
    <row r="27" spans="1:7">
      <c r="A27" s="1">
        <v>93</v>
      </c>
      <c r="B27" t="s">
        <v>294</v>
      </c>
      <c r="C27" s="9">
        <v>40634</v>
      </c>
      <c r="D27" t="s">
        <v>1789</v>
      </c>
      <c r="E27" s="10">
        <v>550.82185500000003</v>
      </c>
      <c r="F27" s="11">
        <v>0.03</v>
      </c>
      <c r="G27" t="s">
        <v>6</v>
      </c>
    </row>
    <row r="28" spans="1:7">
      <c r="A28" s="1">
        <v>93</v>
      </c>
      <c r="B28" t="s">
        <v>294</v>
      </c>
      <c r="C28" s="9">
        <v>40252</v>
      </c>
      <c r="D28" t="s">
        <v>1789</v>
      </c>
      <c r="E28" s="10">
        <v>534.77850000000001</v>
      </c>
      <c r="F28" s="11">
        <v>0.03</v>
      </c>
      <c r="G28" t="s">
        <v>6</v>
      </c>
    </row>
    <row r="29" spans="1:7">
      <c r="A29" s="1">
        <v>94</v>
      </c>
      <c r="B29" t="s">
        <v>246</v>
      </c>
      <c r="C29" s="9">
        <v>40634</v>
      </c>
      <c r="D29" t="s">
        <v>1789</v>
      </c>
      <c r="E29" s="10">
        <v>778.10827500000005</v>
      </c>
      <c r="F29" s="11">
        <v>0.05</v>
      </c>
      <c r="G29" t="s">
        <v>6</v>
      </c>
    </row>
    <row r="30" spans="1:7">
      <c r="A30" s="1">
        <v>94</v>
      </c>
      <c r="B30" t="s">
        <v>246</v>
      </c>
      <c r="C30" s="9">
        <v>40252</v>
      </c>
      <c r="D30" t="s">
        <v>1789</v>
      </c>
      <c r="E30" s="10">
        <v>741.05550000000005</v>
      </c>
      <c r="F30" s="11">
        <v>0.05</v>
      </c>
      <c r="G30" t="s">
        <v>6</v>
      </c>
    </row>
    <row r="31" spans="1:7">
      <c r="A31" s="1">
        <v>95</v>
      </c>
      <c r="B31" t="s">
        <v>281</v>
      </c>
      <c r="C31" s="9">
        <v>40634</v>
      </c>
      <c r="D31" t="s">
        <v>1789</v>
      </c>
      <c r="E31" s="10">
        <v>1392.0111360000001</v>
      </c>
      <c r="F31" s="11">
        <v>0.08</v>
      </c>
      <c r="G31" t="s">
        <v>6</v>
      </c>
    </row>
    <row r="32" spans="1:7">
      <c r="A32" s="1">
        <v>95</v>
      </c>
      <c r="B32" t="s">
        <v>281</v>
      </c>
      <c r="C32" s="9">
        <v>40252</v>
      </c>
      <c r="D32" t="s">
        <v>1789</v>
      </c>
      <c r="E32" s="10">
        <v>1288.8992000000001</v>
      </c>
      <c r="F32" s="11">
        <v>0.08</v>
      </c>
      <c r="G32" t="s">
        <v>6</v>
      </c>
    </row>
    <row r="33" spans="1:7">
      <c r="A33" s="1">
        <v>100</v>
      </c>
      <c r="B33" t="s">
        <v>302</v>
      </c>
      <c r="C33" s="9">
        <v>40634</v>
      </c>
      <c r="D33" t="s">
        <v>1789</v>
      </c>
      <c r="E33" s="10">
        <v>370.42889100000002</v>
      </c>
      <c r="F33" s="11">
        <v>0.03</v>
      </c>
      <c r="G33" t="s">
        <v>6</v>
      </c>
    </row>
    <row r="34" spans="1:7">
      <c r="A34" s="1">
        <v>100</v>
      </c>
      <c r="B34" t="s">
        <v>302</v>
      </c>
      <c r="C34" s="9">
        <v>40252</v>
      </c>
      <c r="D34" t="s">
        <v>1789</v>
      </c>
      <c r="E34" s="10">
        <v>359.6397</v>
      </c>
      <c r="F34" s="11">
        <v>0.03</v>
      </c>
      <c r="G34" t="s">
        <v>6</v>
      </c>
    </row>
    <row r="35" spans="1:7">
      <c r="A35" s="1">
        <v>101</v>
      </c>
      <c r="B35" t="s">
        <v>298</v>
      </c>
      <c r="C35" s="9">
        <v>40634</v>
      </c>
      <c r="D35" t="s">
        <v>1789</v>
      </c>
      <c r="E35" s="10">
        <v>1472.4927720000001</v>
      </c>
      <c r="F35" s="11">
        <v>0.09</v>
      </c>
      <c r="G35" t="s">
        <v>6</v>
      </c>
    </row>
    <row r="36" spans="1:7">
      <c r="A36" s="1">
        <v>101</v>
      </c>
      <c r="B36" t="s">
        <v>298</v>
      </c>
      <c r="C36" s="9">
        <v>40252</v>
      </c>
      <c r="D36" t="s">
        <v>1789</v>
      </c>
      <c r="E36" s="10">
        <v>1350.9108000000001</v>
      </c>
      <c r="F36" s="11">
        <v>0.09</v>
      </c>
      <c r="G36" t="s">
        <v>6</v>
      </c>
    </row>
    <row r="37" spans="1:7">
      <c r="A37" s="1">
        <v>104</v>
      </c>
      <c r="B37" t="s">
        <v>306</v>
      </c>
      <c r="C37" s="9">
        <v>40634</v>
      </c>
      <c r="D37" t="s">
        <v>1789</v>
      </c>
      <c r="E37" s="10">
        <v>339.460284</v>
      </c>
      <c r="F37" s="11">
        <v>0.02</v>
      </c>
      <c r="G37" t="s">
        <v>6</v>
      </c>
    </row>
    <row r="38" spans="1:7">
      <c r="A38" s="1">
        <v>104</v>
      </c>
      <c r="B38" t="s">
        <v>306</v>
      </c>
      <c r="C38" s="9">
        <v>40252</v>
      </c>
      <c r="D38" t="s">
        <v>1789</v>
      </c>
      <c r="E38" s="10">
        <v>332.80419999999998</v>
      </c>
      <c r="F38" s="11">
        <v>0.02</v>
      </c>
      <c r="G38" t="s">
        <v>6</v>
      </c>
    </row>
    <row r="39" spans="1:7">
      <c r="A39" s="1">
        <v>110</v>
      </c>
      <c r="B39" t="s">
        <v>277</v>
      </c>
      <c r="C39" s="9">
        <v>40634</v>
      </c>
      <c r="D39" t="s">
        <v>1789</v>
      </c>
      <c r="E39" s="10">
        <v>254.46980400000001</v>
      </c>
      <c r="F39" s="11">
        <v>0.02</v>
      </c>
      <c r="G39" t="s">
        <v>6</v>
      </c>
    </row>
    <row r="40" spans="1:7">
      <c r="A40" s="1">
        <v>110</v>
      </c>
      <c r="B40" t="s">
        <v>277</v>
      </c>
      <c r="C40" s="9">
        <v>40252</v>
      </c>
      <c r="D40" t="s">
        <v>1789</v>
      </c>
      <c r="E40" s="10">
        <v>249.4802</v>
      </c>
      <c r="F40" s="11">
        <v>0.02</v>
      </c>
      <c r="G40" t="s">
        <v>6</v>
      </c>
    </row>
    <row r="41" spans="1:7">
      <c r="A41" s="1">
        <v>111</v>
      </c>
      <c r="B41" t="s">
        <v>273</v>
      </c>
      <c r="C41" s="9">
        <v>40634</v>
      </c>
      <c r="D41" t="s">
        <v>1789</v>
      </c>
      <c r="E41" s="10">
        <v>982.80052499999999</v>
      </c>
      <c r="F41" s="11">
        <v>0.05</v>
      </c>
      <c r="G41" t="s">
        <v>6</v>
      </c>
    </row>
    <row r="42" spans="1:7">
      <c r="A42" s="1">
        <v>111</v>
      </c>
      <c r="B42" t="s">
        <v>273</v>
      </c>
      <c r="C42" s="9">
        <v>40252</v>
      </c>
      <c r="D42" t="s">
        <v>1789</v>
      </c>
      <c r="E42" s="10">
        <v>936.00049999999999</v>
      </c>
      <c r="F42" s="11">
        <v>0.05</v>
      </c>
      <c r="G42" t="s">
        <v>6</v>
      </c>
    </row>
    <row r="43" spans="1:7">
      <c r="A43" s="1">
        <v>115</v>
      </c>
      <c r="B43" t="s">
        <v>290</v>
      </c>
      <c r="C43" s="9">
        <v>40634</v>
      </c>
      <c r="D43" t="s">
        <v>1789</v>
      </c>
      <c r="E43" s="10">
        <v>1447.6656240000002</v>
      </c>
      <c r="F43" s="11">
        <v>0.09</v>
      </c>
      <c r="G43" t="s">
        <v>6</v>
      </c>
    </row>
    <row r="44" spans="1:7">
      <c r="A44" s="1">
        <v>115</v>
      </c>
      <c r="B44" t="s">
        <v>290</v>
      </c>
      <c r="C44" s="9">
        <v>40252</v>
      </c>
      <c r="D44" t="s">
        <v>1789</v>
      </c>
      <c r="E44" s="10">
        <v>1328.1336000000001</v>
      </c>
      <c r="F44" s="11">
        <v>0.09</v>
      </c>
      <c r="G44" t="s">
        <v>6</v>
      </c>
    </row>
    <row r="45" spans="1:7">
      <c r="A45" s="1">
        <v>161</v>
      </c>
      <c r="B45" t="s">
        <v>364</v>
      </c>
      <c r="C45" s="9">
        <v>40634</v>
      </c>
      <c r="D45" t="s">
        <v>1789</v>
      </c>
      <c r="E45" s="10">
        <v>3026.3424</v>
      </c>
      <c r="F45" s="11">
        <v>0.06</v>
      </c>
      <c r="G45" t="s">
        <v>6</v>
      </c>
    </row>
    <row r="46" spans="1:7">
      <c r="A46" s="1">
        <v>161</v>
      </c>
      <c r="B46" t="s">
        <v>364</v>
      </c>
      <c r="C46" s="9">
        <v>40252</v>
      </c>
      <c r="D46" t="s">
        <v>1789</v>
      </c>
      <c r="E46" s="10">
        <v>2855.04</v>
      </c>
      <c r="F46" s="11">
        <v>0.06</v>
      </c>
      <c r="G46" t="s">
        <v>6</v>
      </c>
    </row>
    <row r="47" spans="1:7">
      <c r="A47" s="1">
        <v>162</v>
      </c>
      <c r="B47" t="s">
        <v>324</v>
      </c>
      <c r="C47" s="9">
        <v>40634</v>
      </c>
      <c r="D47" t="s">
        <v>1789</v>
      </c>
      <c r="E47" s="10">
        <v>27778.654944000005</v>
      </c>
      <c r="F47" s="11">
        <v>0.08</v>
      </c>
      <c r="G47" t="s">
        <v>6</v>
      </c>
    </row>
    <row r="48" spans="1:7">
      <c r="A48" s="1">
        <v>162</v>
      </c>
      <c r="B48" t="s">
        <v>324</v>
      </c>
      <c r="C48" s="9">
        <v>40252</v>
      </c>
      <c r="D48" t="s">
        <v>1789</v>
      </c>
      <c r="E48" s="10">
        <v>25720.976800000004</v>
      </c>
      <c r="F48" s="11">
        <v>0.08</v>
      </c>
      <c r="G48" t="s">
        <v>6</v>
      </c>
    </row>
    <row r="49" spans="1:7">
      <c r="A49" s="1">
        <v>166</v>
      </c>
      <c r="B49" t="s">
        <v>366</v>
      </c>
      <c r="C49" s="9">
        <v>40634</v>
      </c>
      <c r="D49" t="s">
        <v>1789</v>
      </c>
      <c r="E49" s="10">
        <v>11164.420319999999</v>
      </c>
      <c r="F49" s="11">
        <v>0.06</v>
      </c>
      <c r="G49" t="s">
        <v>6</v>
      </c>
    </row>
    <row r="50" spans="1:7">
      <c r="A50" s="1">
        <v>166</v>
      </c>
      <c r="B50" t="s">
        <v>366</v>
      </c>
      <c r="C50" s="9">
        <v>40252</v>
      </c>
      <c r="D50" t="s">
        <v>1789</v>
      </c>
      <c r="E50" s="10">
        <v>10532.472</v>
      </c>
      <c r="F50" s="11">
        <v>0.06</v>
      </c>
      <c r="G50" t="s">
        <v>6</v>
      </c>
    </row>
    <row r="51" spans="1:7">
      <c r="A51" s="1">
        <v>167</v>
      </c>
      <c r="B51" t="s">
        <v>346</v>
      </c>
      <c r="C51" s="9">
        <v>40634</v>
      </c>
      <c r="D51" t="s">
        <v>1789</v>
      </c>
      <c r="E51" s="10">
        <v>5041.1208750000005</v>
      </c>
      <c r="F51" s="11">
        <v>0.05</v>
      </c>
      <c r="G51" t="s">
        <v>6</v>
      </c>
    </row>
    <row r="52" spans="1:7">
      <c r="A52" s="1">
        <v>167</v>
      </c>
      <c r="B52" t="s">
        <v>346</v>
      </c>
      <c r="C52" s="9">
        <v>40252</v>
      </c>
      <c r="D52" t="s">
        <v>1789</v>
      </c>
      <c r="E52" s="10">
        <v>4801.0675000000001</v>
      </c>
      <c r="F52" s="11">
        <v>0.05</v>
      </c>
      <c r="G52" t="s">
        <v>6</v>
      </c>
    </row>
    <row r="53" spans="1:7">
      <c r="A53" s="1">
        <v>168</v>
      </c>
      <c r="B53" t="s">
        <v>348</v>
      </c>
      <c r="C53" s="9">
        <v>40634</v>
      </c>
      <c r="D53" t="s">
        <v>1789</v>
      </c>
      <c r="E53" s="10">
        <v>3819.1698839999999</v>
      </c>
      <c r="F53" s="11">
        <v>0.02</v>
      </c>
      <c r="G53" t="s">
        <v>6</v>
      </c>
    </row>
    <row r="54" spans="1:7">
      <c r="A54" s="1">
        <v>168</v>
      </c>
      <c r="B54" t="s">
        <v>348</v>
      </c>
      <c r="C54" s="9">
        <v>40252</v>
      </c>
      <c r="D54" t="s">
        <v>1789</v>
      </c>
      <c r="E54" s="10">
        <v>3744.2842000000001</v>
      </c>
      <c r="F54" s="11">
        <v>0.02</v>
      </c>
      <c r="G54" t="s">
        <v>6</v>
      </c>
    </row>
    <row r="55" spans="1:7">
      <c r="A55" s="1">
        <v>170</v>
      </c>
      <c r="B55" t="s">
        <v>362</v>
      </c>
      <c r="C55" s="9">
        <v>40634</v>
      </c>
      <c r="D55" t="s">
        <v>1789</v>
      </c>
      <c r="E55" s="10">
        <v>3094.7369250000002</v>
      </c>
      <c r="F55" s="11">
        <v>7.0000000000000007E-2</v>
      </c>
      <c r="G55" t="s">
        <v>6</v>
      </c>
    </row>
    <row r="56" spans="1:7">
      <c r="A56" s="1">
        <v>170</v>
      </c>
      <c r="B56" t="s">
        <v>362</v>
      </c>
      <c r="C56" s="9">
        <v>40252</v>
      </c>
      <c r="D56" t="s">
        <v>1789</v>
      </c>
      <c r="E56" s="10">
        <v>2892.2775000000001</v>
      </c>
      <c r="F56" s="11">
        <v>7.0000000000000007E-2</v>
      </c>
      <c r="G56" t="s">
        <v>6</v>
      </c>
    </row>
    <row r="57" spans="1:7">
      <c r="A57" s="1">
        <v>172</v>
      </c>
      <c r="B57" t="s">
        <v>359</v>
      </c>
      <c r="C57" s="9">
        <v>40634</v>
      </c>
      <c r="D57" t="s">
        <v>1789</v>
      </c>
      <c r="E57" s="10">
        <v>1476.5630250000002</v>
      </c>
      <c r="F57" s="11">
        <v>0.05</v>
      </c>
      <c r="G57" t="s">
        <v>6</v>
      </c>
    </row>
    <row r="58" spans="1:7">
      <c r="A58" s="1">
        <v>172</v>
      </c>
      <c r="B58" t="s">
        <v>359</v>
      </c>
      <c r="C58" s="9">
        <v>40252</v>
      </c>
      <c r="D58" t="s">
        <v>1789</v>
      </c>
      <c r="E58" s="10">
        <v>1406.2505000000001</v>
      </c>
      <c r="F58" s="11">
        <v>0.05</v>
      </c>
      <c r="G58" t="s">
        <v>6</v>
      </c>
    </row>
    <row r="59" spans="1:7">
      <c r="A59" s="1">
        <v>174</v>
      </c>
      <c r="B59" t="s">
        <v>360</v>
      </c>
      <c r="C59" s="9">
        <v>40634</v>
      </c>
      <c r="D59" t="s">
        <v>1789</v>
      </c>
      <c r="E59" s="10">
        <v>1982.9506920000001</v>
      </c>
      <c r="F59" s="11">
        <v>0.06</v>
      </c>
      <c r="G59" t="s">
        <v>6</v>
      </c>
    </row>
    <row r="60" spans="1:7">
      <c r="A60" s="1">
        <v>174</v>
      </c>
      <c r="B60" t="s">
        <v>360</v>
      </c>
      <c r="C60" s="9">
        <v>40252</v>
      </c>
      <c r="D60" t="s">
        <v>1789</v>
      </c>
      <c r="E60" s="10">
        <v>1870.7082</v>
      </c>
      <c r="F60" s="11">
        <v>0.06</v>
      </c>
      <c r="G60" t="s">
        <v>6</v>
      </c>
    </row>
    <row r="61" spans="1:7">
      <c r="A61" s="1">
        <v>175</v>
      </c>
      <c r="B61" t="s">
        <v>355</v>
      </c>
      <c r="C61" s="9">
        <v>40634</v>
      </c>
      <c r="D61" t="s">
        <v>1789</v>
      </c>
      <c r="E61" s="10">
        <v>858.24002599999994</v>
      </c>
      <c r="F61" s="11">
        <v>0.01</v>
      </c>
      <c r="G61" t="s">
        <v>6</v>
      </c>
    </row>
    <row r="62" spans="1:7">
      <c r="A62" s="1">
        <v>175</v>
      </c>
      <c r="B62" t="s">
        <v>355</v>
      </c>
      <c r="C62" s="9">
        <v>40252</v>
      </c>
      <c r="D62" t="s">
        <v>1789</v>
      </c>
      <c r="E62" s="10">
        <v>849.74259999999992</v>
      </c>
      <c r="F62" s="11">
        <v>0.01</v>
      </c>
      <c r="G62" t="s">
        <v>6</v>
      </c>
    </row>
    <row r="63" spans="1:7">
      <c r="A63" s="1">
        <v>176</v>
      </c>
      <c r="B63" t="s">
        <v>358</v>
      </c>
      <c r="C63" s="9">
        <v>40634</v>
      </c>
      <c r="D63" t="s">
        <v>1789</v>
      </c>
      <c r="E63" s="10">
        <v>1842.0355199999999</v>
      </c>
      <c r="F63" s="11">
        <v>0.03</v>
      </c>
      <c r="G63" t="s">
        <v>6</v>
      </c>
    </row>
    <row r="64" spans="1:7">
      <c r="A64" s="1">
        <v>176</v>
      </c>
      <c r="B64" t="s">
        <v>358</v>
      </c>
      <c r="C64" s="9">
        <v>40252</v>
      </c>
      <c r="D64" t="s">
        <v>1789</v>
      </c>
      <c r="E64" s="10">
        <v>1788.384</v>
      </c>
      <c r="F64" s="11">
        <v>0.03</v>
      </c>
      <c r="G64" t="s">
        <v>6</v>
      </c>
    </row>
    <row r="65" spans="1:7">
      <c r="A65" s="1">
        <v>177</v>
      </c>
      <c r="B65" t="s">
        <v>363</v>
      </c>
      <c r="C65" s="9">
        <v>40634</v>
      </c>
      <c r="D65" t="s">
        <v>1789</v>
      </c>
      <c r="E65" s="10">
        <v>4866.5448000000006</v>
      </c>
      <c r="F65" s="11">
        <v>0.09</v>
      </c>
      <c r="G65" t="s">
        <v>6</v>
      </c>
    </row>
    <row r="66" spans="1:7">
      <c r="A66" s="1">
        <v>177</v>
      </c>
      <c r="B66" t="s">
        <v>363</v>
      </c>
      <c r="C66" s="9">
        <v>40252</v>
      </c>
      <c r="D66" t="s">
        <v>1789</v>
      </c>
      <c r="E66" s="10">
        <v>4464.72</v>
      </c>
      <c r="F66" s="11">
        <v>0.09</v>
      </c>
      <c r="G66" t="s">
        <v>6</v>
      </c>
    </row>
    <row r="67" spans="1:7">
      <c r="A67" s="1">
        <v>1010</v>
      </c>
      <c r="B67" t="s">
        <v>354</v>
      </c>
      <c r="C67" s="9">
        <v>40634</v>
      </c>
      <c r="D67" t="s">
        <v>1789</v>
      </c>
      <c r="E67" s="10">
        <v>2667.935301</v>
      </c>
      <c r="F67" s="11">
        <v>0.01</v>
      </c>
      <c r="G67" t="s">
        <v>6</v>
      </c>
    </row>
    <row r="68" spans="1:7">
      <c r="A68" s="1">
        <v>1010</v>
      </c>
      <c r="B68" t="s">
        <v>354</v>
      </c>
      <c r="C68" s="9">
        <v>40252</v>
      </c>
      <c r="D68" t="s">
        <v>1789</v>
      </c>
      <c r="E68" s="10">
        <v>2641.5201000000002</v>
      </c>
      <c r="F68" s="11">
        <v>0.01</v>
      </c>
      <c r="G68" t="s">
        <v>6</v>
      </c>
    </row>
    <row r="69" spans="1:7">
      <c r="A69" s="1">
        <v>1012</v>
      </c>
      <c r="B69" t="s">
        <v>369</v>
      </c>
      <c r="C69" s="9">
        <v>40634</v>
      </c>
      <c r="D69" t="s">
        <v>1789</v>
      </c>
      <c r="E69" s="10">
        <v>14345.006039000002</v>
      </c>
      <c r="F69" s="11">
        <v>7.0000000000000007E-2</v>
      </c>
      <c r="G69" t="s">
        <v>6</v>
      </c>
    </row>
    <row r="70" spans="1:7">
      <c r="A70" s="1">
        <v>1012</v>
      </c>
      <c r="B70" t="s">
        <v>369</v>
      </c>
      <c r="C70" s="9">
        <v>40252</v>
      </c>
      <c r="D70" t="s">
        <v>1789</v>
      </c>
      <c r="E70" s="10">
        <v>13406.547700000001</v>
      </c>
      <c r="F70" s="11">
        <v>7.0000000000000007E-2</v>
      </c>
      <c r="G70" t="s">
        <v>6</v>
      </c>
    </row>
    <row r="71" spans="1:7">
      <c r="A71" s="1">
        <v>1028</v>
      </c>
      <c r="B71" t="s">
        <v>351</v>
      </c>
      <c r="C71" s="9">
        <v>40634</v>
      </c>
      <c r="D71" t="s">
        <v>1789</v>
      </c>
      <c r="E71" s="10">
        <v>1254.6048959999998</v>
      </c>
      <c r="F71" s="11">
        <v>0.02</v>
      </c>
      <c r="G71" t="s">
        <v>6</v>
      </c>
    </row>
    <row r="72" spans="1:7">
      <c r="A72" s="1">
        <v>1028</v>
      </c>
      <c r="B72" t="s">
        <v>351</v>
      </c>
      <c r="C72" s="9">
        <v>40252</v>
      </c>
      <c r="D72" t="s">
        <v>1789</v>
      </c>
      <c r="E72" s="10">
        <v>1230.0047999999999</v>
      </c>
      <c r="F72" s="11">
        <v>0.02</v>
      </c>
      <c r="G72" t="s">
        <v>6</v>
      </c>
    </row>
    <row r="73" spans="1:7">
      <c r="A73" s="1">
        <v>1043</v>
      </c>
      <c r="B73" t="s">
        <v>372</v>
      </c>
      <c r="C73" s="9">
        <v>40634</v>
      </c>
      <c r="D73" t="s">
        <v>1789</v>
      </c>
      <c r="E73" s="10">
        <v>1022.12364</v>
      </c>
      <c r="F73" s="11">
        <v>0.02</v>
      </c>
      <c r="G73" t="s">
        <v>6</v>
      </c>
    </row>
    <row r="74" spans="1:7">
      <c r="A74" s="1">
        <v>1043</v>
      </c>
      <c r="B74" t="s">
        <v>372</v>
      </c>
      <c r="C74" s="9">
        <v>40252</v>
      </c>
      <c r="D74" t="s">
        <v>1789</v>
      </c>
      <c r="E74" s="10">
        <v>1002.082</v>
      </c>
      <c r="F74" s="11">
        <v>0.02</v>
      </c>
      <c r="G74" t="s">
        <v>6</v>
      </c>
    </row>
    <row r="75" spans="1:7">
      <c r="A75" s="1">
        <v>1113</v>
      </c>
      <c r="B75" t="s">
        <v>350</v>
      </c>
      <c r="C75" s="9">
        <v>40634</v>
      </c>
      <c r="D75" t="s">
        <v>1789</v>
      </c>
      <c r="E75" s="10">
        <v>3653.9868000000001</v>
      </c>
      <c r="F75" s="11">
        <v>0.02</v>
      </c>
      <c r="G75" t="s">
        <v>6</v>
      </c>
    </row>
    <row r="76" spans="1:7">
      <c r="A76" s="1">
        <v>1113</v>
      </c>
      <c r="B76" t="s">
        <v>350</v>
      </c>
      <c r="C76" s="9">
        <v>40252</v>
      </c>
      <c r="D76" t="s">
        <v>1789</v>
      </c>
      <c r="E76" s="10">
        <v>3582.34</v>
      </c>
      <c r="F76" s="11">
        <v>0.02</v>
      </c>
      <c r="G76" t="s">
        <v>6</v>
      </c>
    </row>
    <row r="77" spans="1:7">
      <c r="A77" s="1">
        <v>1114</v>
      </c>
      <c r="B77" t="s">
        <v>374</v>
      </c>
      <c r="C77" s="9">
        <v>40634</v>
      </c>
      <c r="D77" t="s">
        <v>1789</v>
      </c>
      <c r="E77" s="10">
        <v>6377.6781810000002</v>
      </c>
      <c r="F77" s="11">
        <v>0.09</v>
      </c>
      <c r="G77" t="s">
        <v>6</v>
      </c>
    </row>
    <row r="78" spans="1:7">
      <c r="A78" s="1">
        <v>1114</v>
      </c>
      <c r="B78" t="s">
        <v>374</v>
      </c>
      <c r="C78" s="9">
        <v>40252</v>
      </c>
      <c r="D78" t="s">
        <v>1789</v>
      </c>
      <c r="E78" s="10">
        <v>5851.0808999999999</v>
      </c>
      <c r="F78" s="11">
        <v>0.09</v>
      </c>
      <c r="G78" t="s">
        <v>6</v>
      </c>
    </row>
    <row r="79" spans="1:7">
      <c r="A79" s="1">
        <v>1115</v>
      </c>
      <c r="B79" t="s">
        <v>331</v>
      </c>
      <c r="C79" s="9">
        <v>40634</v>
      </c>
      <c r="D79" t="s">
        <v>1789</v>
      </c>
      <c r="E79" s="10">
        <v>5933.0801250000004</v>
      </c>
      <c r="F79" s="11">
        <v>0.05</v>
      </c>
      <c r="G79" t="s">
        <v>6</v>
      </c>
    </row>
    <row r="80" spans="1:7">
      <c r="A80" s="1">
        <v>1115</v>
      </c>
      <c r="B80" t="s">
        <v>331</v>
      </c>
      <c r="C80" s="9">
        <v>40252</v>
      </c>
      <c r="D80" t="s">
        <v>1789</v>
      </c>
      <c r="E80" s="10">
        <v>5650.5525000000007</v>
      </c>
      <c r="F80" s="11">
        <v>0.05</v>
      </c>
      <c r="G80" t="s">
        <v>6</v>
      </c>
    </row>
    <row r="81" spans="1:7">
      <c r="A81" s="1">
        <v>1117</v>
      </c>
      <c r="B81" t="s">
        <v>329</v>
      </c>
      <c r="C81" s="9">
        <v>40634</v>
      </c>
      <c r="D81" t="s">
        <v>1789</v>
      </c>
      <c r="E81" s="10">
        <v>571.44561600000009</v>
      </c>
      <c r="F81" s="11">
        <v>0.02</v>
      </c>
      <c r="G81" t="s">
        <v>6</v>
      </c>
    </row>
    <row r="82" spans="1:7">
      <c r="A82" s="1">
        <v>1117</v>
      </c>
      <c r="B82" t="s">
        <v>329</v>
      </c>
      <c r="C82" s="9">
        <v>40252</v>
      </c>
      <c r="D82" t="s">
        <v>1789</v>
      </c>
      <c r="E82" s="10">
        <v>560.24080000000004</v>
      </c>
      <c r="F82" s="11">
        <v>0.02</v>
      </c>
      <c r="G82" t="s">
        <v>6</v>
      </c>
    </row>
    <row r="83" spans="1:7">
      <c r="A83" s="1">
        <v>1118</v>
      </c>
      <c r="B83" t="s">
        <v>338</v>
      </c>
      <c r="C83" s="9">
        <v>40634</v>
      </c>
      <c r="D83" t="s">
        <v>1789</v>
      </c>
      <c r="E83" s="10">
        <v>2959.4517960000003</v>
      </c>
      <c r="F83" s="11">
        <v>7.0000000000000007E-2</v>
      </c>
      <c r="G83" t="s">
        <v>6</v>
      </c>
    </row>
    <row r="84" spans="1:7">
      <c r="A84" s="1">
        <v>1118</v>
      </c>
      <c r="B84" t="s">
        <v>338</v>
      </c>
      <c r="C84" s="9">
        <v>40252</v>
      </c>
      <c r="D84" t="s">
        <v>1789</v>
      </c>
      <c r="E84" s="10">
        <v>2765.8428000000004</v>
      </c>
      <c r="F84" s="11">
        <v>7.0000000000000007E-2</v>
      </c>
      <c r="G84" t="s">
        <v>6</v>
      </c>
    </row>
    <row r="85" spans="1:7">
      <c r="A85" s="1">
        <v>1119</v>
      </c>
      <c r="B85" t="s">
        <v>337</v>
      </c>
      <c r="C85" s="9">
        <v>40634</v>
      </c>
      <c r="D85" t="s">
        <v>1789</v>
      </c>
      <c r="E85" s="10">
        <v>685.93327199999999</v>
      </c>
      <c r="F85" s="11">
        <v>0.02</v>
      </c>
      <c r="G85" t="s">
        <v>6</v>
      </c>
    </row>
    <row r="86" spans="1:7">
      <c r="A86" s="1">
        <v>1119</v>
      </c>
      <c r="B86" t="s">
        <v>337</v>
      </c>
      <c r="C86" s="9">
        <v>40252</v>
      </c>
      <c r="D86" t="s">
        <v>1789</v>
      </c>
      <c r="E86" s="10">
        <v>672.48360000000002</v>
      </c>
      <c r="F86" s="11">
        <v>0.02</v>
      </c>
      <c r="G86" t="s">
        <v>6</v>
      </c>
    </row>
    <row r="87" spans="1:7">
      <c r="A87" s="1">
        <v>1121</v>
      </c>
      <c r="B87" t="s">
        <v>327</v>
      </c>
      <c r="C87" s="9">
        <v>40634</v>
      </c>
      <c r="D87" t="s">
        <v>1789</v>
      </c>
      <c r="E87" s="10">
        <v>656.74724800000001</v>
      </c>
      <c r="F87" s="11">
        <v>0.01</v>
      </c>
      <c r="G87" t="s">
        <v>6</v>
      </c>
    </row>
    <row r="88" spans="1:7">
      <c r="A88" s="1">
        <v>1121</v>
      </c>
      <c r="B88" t="s">
        <v>327</v>
      </c>
      <c r="C88" s="9">
        <v>40252</v>
      </c>
      <c r="D88" t="s">
        <v>1789</v>
      </c>
      <c r="E88" s="10">
        <v>650.24480000000005</v>
      </c>
      <c r="F88" s="11">
        <v>0.01</v>
      </c>
      <c r="G88" t="s">
        <v>6</v>
      </c>
    </row>
    <row r="89" spans="1:7">
      <c r="A89" s="1">
        <v>1123</v>
      </c>
      <c r="B89" t="s">
        <v>334</v>
      </c>
      <c r="C89" s="9">
        <v>40634</v>
      </c>
      <c r="D89" t="s">
        <v>1789</v>
      </c>
      <c r="E89" s="10">
        <v>1289.8086359999998</v>
      </c>
      <c r="F89" s="11">
        <v>0.06</v>
      </c>
      <c r="G89" t="s">
        <v>6</v>
      </c>
    </row>
    <row r="90" spans="1:7">
      <c r="A90" s="1">
        <v>1123</v>
      </c>
      <c r="B90" t="s">
        <v>334</v>
      </c>
      <c r="C90" s="9">
        <v>40252</v>
      </c>
      <c r="D90" t="s">
        <v>1789</v>
      </c>
      <c r="E90" s="10">
        <v>1216.8005999999998</v>
      </c>
      <c r="F90" s="11">
        <v>0.06</v>
      </c>
      <c r="G90" t="s">
        <v>6</v>
      </c>
    </row>
    <row r="91" spans="1:7">
      <c r="A91" s="1">
        <v>1125</v>
      </c>
      <c r="B91" t="s">
        <v>345</v>
      </c>
      <c r="C91" s="9">
        <v>40634</v>
      </c>
      <c r="D91" t="s">
        <v>1789</v>
      </c>
      <c r="E91" s="10">
        <v>637.54243199999996</v>
      </c>
      <c r="F91" s="11">
        <v>0.02</v>
      </c>
      <c r="G91" t="s">
        <v>6</v>
      </c>
    </row>
    <row r="92" spans="1:7">
      <c r="A92" s="1">
        <v>1125</v>
      </c>
      <c r="B92" t="s">
        <v>345</v>
      </c>
      <c r="C92" s="9">
        <v>40252</v>
      </c>
      <c r="D92" t="s">
        <v>1789</v>
      </c>
      <c r="E92" s="10">
        <v>625.04160000000002</v>
      </c>
      <c r="F92" s="11">
        <v>0.02</v>
      </c>
      <c r="G92" t="s">
        <v>6</v>
      </c>
    </row>
    <row r="93" spans="1:7">
      <c r="A93" s="1">
        <v>1126</v>
      </c>
      <c r="B93" t="s">
        <v>344</v>
      </c>
      <c r="C93" s="9">
        <v>40634</v>
      </c>
      <c r="D93" t="s">
        <v>1789</v>
      </c>
      <c r="E93" s="10">
        <v>622.97331199999996</v>
      </c>
      <c r="F93" s="11">
        <v>0.04</v>
      </c>
      <c r="G93" t="s">
        <v>6</v>
      </c>
    </row>
    <row r="94" spans="1:7">
      <c r="A94" s="1">
        <v>1126</v>
      </c>
      <c r="B94" t="s">
        <v>344</v>
      </c>
      <c r="C94" s="9">
        <v>40252</v>
      </c>
      <c r="D94" t="s">
        <v>1789</v>
      </c>
      <c r="E94" s="10">
        <v>599.01279999999997</v>
      </c>
      <c r="F94" s="11">
        <v>0.04</v>
      </c>
      <c r="G94" t="s">
        <v>6</v>
      </c>
    </row>
    <row r="95" spans="1:7">
      <c r="A95" s="1">
        <v>1127</v>
      </c>
      <c r="B95" t="s">
        <v>1793</v>
      </c>
      <c r="C95" s="9">
        <v>40634</v>
      </c>
      <c r="D95" t="s">
        <v>1789</v>
      </c>
      <c r="E95" s="10">
        <v>369.56430899999998</v>
      </c>
      <c r="F95" s="11">
        <v>0.03</v>
      </c>
      <c r="G95" t="s">
        <v>6</v>
      </c>
    </row>
    <row r="96" spans="1:7">
      <c r="A96" s="1">
        <v>1127</v>
      </c>
      <c r="B96" t="s">
        <v>1793</v>
      </c>
      <c r="C96" s="9">
        <v>40252</v>
      </c>
      <c r="D96" t="s">
        <v>1789</v>
      </c>
      <c r="E96" s="10">
        <v>358.80029999999999</v>
      </c>
      <c r="F96" s="11">
        <v>0.03</v>
      </c>
      <c r="G96" t="s">
        <v>6</v>
      </c>
    </row>
    <row r="97" spans="1:7">
      <c r="A97" s="1">
        <v>1128</v>
      </c>
      <c r="B97" t="s">
        <v>332</v>
      </c>
      <c r="C97" s="9">
        <v>40634</v>
      </c>
      <c r="D97" t="s">
        <v>1789</v>
      </c>
      <c r="E97" s="10">
        <v>1045.0439999999999</v>
      </c>
      <c r="F97" s="11">
        <v>0.05</v>
      </c>
      <c r="G97" t="s">
        <v>6</v>
      </c>
    </row>
    <row r="98" spans="1:7">
      <c r="A98" s="1">
        <v>1128</v>
      </c>
      <c r="B98" t="s">
        <v>332</v>
      </c>
      <c r="C98" s="9">
        <v>40252</v>
      </c>
      <c r="D98" t="s">
        <v>1789</v>
      </c>
      <c r="E98" s="10">
        <v>995.28</v>
      </c>
      <c r="F98" s="11">
        <v>0.05</v>
      </c>
      <c r="G98" t="s">
        <v>6</v>
      </c>
    </row>
    <row r="99" spans="1:7">
      <c r="A99" s="1">
        <v>1132</v>
      </c>
      <c r="B99" t="s">
        <v>342</v>
      </c>
      <c r="C99" s="9">
        <v>40634</v>
      </c>
      <c r="D99" t="s">
        <v>1789</v>
      </c>
      <c r="E99" s="10">
        <v>310.99820399999999</v>
      </c>
      <c r="F99" s="11">
        <v>0.02</v>
      </c>
      <c r="G99" t="s">
        <v>6</v>
      </c>
    </row>
    <row r="100" spans="1:7">
      <c r="A100" s="1">
        <v>1132</v>
      </c>
      <c r="B100" t="s">
        <v>342</v>
      </c>
      <c r="C100" s="9">
        <v>40252</v>
      </c>
      <c r="D100" t="s">
        <v>1789</v>
      </c>
      <c r="E100" s="10">
        <v>304.90019999999998</v>
      </c>
      <c r="F100" s="11">
        <v>0.02</v>
      </c>
      <c r="G100" t="s">
        <v>6</v>
      </c>
    </row>
    <row r="101" spans="1:7">
      <c r="A101" s="1">
        <v>2000</v>
      </c>
      <c r="B101" t="s">
        <v>380</v>
      </c>
      <c r="C101" s="9">
        <v>40634</v>
      </c>
      <c r="D101" t="s">
        <v>1789</v>
      </c>
      <c r="E101" s="10">
        <v>13955.5</v>
      </c>
      <c r="F101" s="11">
        <v>0.13</v>
      </c>
      <c r="G101" t="s">
        <v>6</v>
      </c>
    </row>
    <row r="102" spans="1:7">
      <c r="A102" s="1">
        <v>2000</v>
      </c>
      <c r="B102" t="s">
        <v>380</v>
      </c>
      <c r="C102" s="9">
        <v>40252</v>
      </c>
      <c r="D102" t="s">
        <v>1789</v>
      </c>
      <c r="E102" s="10">
        <v>12350</v>
      </c>
      <c r="F102" s="11">
        <v>0.13</v>
      </c>
      <c r="G102" t="s">
        <v>6</v>
      </c>
    </row>
    <row r="103" spans="1:7">
      <c r="A103" s="1">
        <v>2001</v>
      </c>
      <c r="B103" t="s">
        <v>381</v>
      </c>
      <c r="C103" s="9">
        <v>40634</v>
      </c>
      <c r="D103" t="s">
        <v>1789</v>
      </c>
      <c r="E103" s="10">
        <v>1999.2</v>
      </c>
      <c r="F103" s="11">
        <v>0.02</v>
      </c>
      <c r="G103" t="s">
        <v>6</v>
      </c>
    </row>
    <row r="104" spans="1:7">
      <c r="A104" s="1">
        <v>2001</v>
      </c>
      <c r="B104" t="s">
        <v>381</v>
      </c>
      <c r="C104" s="9">
        <v>40252</v>
      </c>
      <c r="D104" t="s">
        <v>1789</v>
      </c>
      <c r="E104" s="10">
        <v>1960</v>
      </c>
      <c r="F104" s="11">
        <v>0.02</v>
      </c>
      <c r="G104" t="s">
        <v>6</v>
      </c>
    </row>
    <row r="105" spans="1:7">
      <c r="A105" s="1">
        <v>2002</v>
      </c>
      <c r="B105" t="s">
        <v>185</v>
      </c>
      <c r="C105" s="9">
        <v>40634</v>
      </c>
      <c r="D105" t="s">
        <v>1789</v>
      </c>
      <c r="E105" s="10">
        <v>2472</v>
      </c>
      <c r="F105" s="11">
        <v>0.03</v>
      </c>
      <c r="G105" t="s">
        <v>6</v>
      </c>
    </row>
    <row r="106" spans="1:7">
      <c r="A106" s="1">
        <v>2002</v>
      </c>
      <c r="B106" t="s">
        <v>185</v>
      </c>
      <c r="C106" s="9">
        <v>40252</v>
      </c>
      <c r="D106" t="s">
        <v>1789</v>
      </c>
      <c r="E106" s="10">
        <v>2400</v>
      </c>
      <c r="F106" s="11">
        <v>0.03</v>
      </c>
      <c r="G106" t="s">
        <v>6</v>
      </c>
    </row>
    <row r="107" spans="1:7">
      <c r="A107" s="1">
        <v>2003</v>
      </c>
      <c r="B107" t="s">
        <v>222</v>
      </c>
      <c r="C107" s="9">
        <v>40725</v>
      </c>
      <c r="D107" t="s">
        <v>1794</v>
      </c>
      <c r="E107" s="10">
        <v>3456</v>
      </c>
      <c r="F107" s="11">
        <v>0.08</v>
      </c>
      <c r="G107" t="s">
        <v>6</v>
      </c>
    </row>
    <row r="108" spans="1:7">
      <c r="A108" s="1">
        <v>2003</v>
      </c>
      <c r="B108" t="s">
        <v>222</v>
      </c>
      <c r="C108" s="9">
        <v>40634</v>
      </c>
      <c r="D108" t="s">
        <v>1789</v>
      </c>
      <c r="E108" s="10">
        <v>1664</v>
      </c>
      <c r="F108" s="11">
        <v>0.04</v>
      </c>
      <c r="G108" t="s">
        <v>6</v>
      </c>
    </row>
    <row r="109" spans="1:7">
      <c r="A109" s="1">
        <v>2003</v>
      </c>
      <c r="B109" t="s">
        <v>222</v>
      </c>
      <c r="C109" s="9">
        <v>40252</v>
      </c>
      <c r="D109" t="s">
        <v>1789</v>
      </c>
      <c r="E109" s="10">
        <v>1600</v>
      </c>
      <c r="F109" s="11">
        <v>0.04</v>
      </c>
      <c r="G109" t="s">
        <v>6</v>
      </c>
    </row>
    <row r="110" spans="1:7">
      <c r="A110" s="1">
        <v>2003</v>
      </c>
      <c r="B110" t="s">
        <v>222</v>
      </c>
      <c r="C110" s="9">
        <v>40026</v>
      </c>
      <c r="D110" t="s">
        <v>1794</v>
      </c>
      <c r="E110" s="10">
        <v>3200</v>
      </c>
      <c r="F110" s="11">
        <v>0.08</v>
      </c>
      <c r="G110" t="s">
        <v>6</v>
      </c>
    </row>
    <row r="111" spans="1:7">
      <c r="A111" s="1">
        <v>2004</v>
      </c>
      <c r="B111" t="s">
        <v>409</v>
      </c>
      <c r="C111" s="9">
        <v>40634</v>
      </c>
      <c r="D111" t="s">
        <v>1789</v>
      </c>
      <c r="E111" s="10">
        <v>2163</v>
      </c>
      <c r="F111" s="11">
        <v>0.03</v>
      </c>
      <c r="G111" t="s">
        <v>6</v>
      </c>
    </row>
    <row r="112" spans="1:7">
      <c r="A112" s="1">
        <v>2004</v>
      </c>
      <c r="B112" t="s">
        <v>409</v>
      </c>
      <c r="C112" s="9">
        <v>40252</v>
      </c>
      <c r="D112" t="s">
        <v>1789</v>
      </c>
      <c r="E112" s="10">
        <v>2100</v>
      </c>
      <c r="F112" s="11">
        <v>0.03</v>
      </c>
      <c r="G112" t="s">
        <v>6</v>
      </c>
    </row>
    <row r="113" spans="1:7">
      <c r="A113" s="1">
        <v>2005</v>
      </c>
      <c r="B113" t="s">
        <v>411</v>
      </c>
      <c r="C113" s="9">
        <v>40634</v>
      </c>
      <c r="D113" t="s">
        <v>1789</v>
      </c>
      <c r="E113" s="10">
        <v>2846.2000000000007</v>
      </c>
      <c r="F113" s="11">
        <v>7.0000000000000007E-2</v>
      </c>
      <c r="G113" t="s">
        <v>6</v>
      </c>
    </row>
    <row r="114" spans="1:7">
      <c r="A114" s="1">
        <v>2005</v>
      </c>
      <c r="B114" t="s">
        <v>411</v>
      </c>
      <c r="C114" s="9">
        <v>40252</v>
      </c>
      <c r="D114" t="s">
        <v>1789</v>
      </c>
      <c r="E114" s="10">
        <v>2660.0000000000005</v>
      </c>
      <c r="F114" s="11">
        <v>7.0000000000000007E-2</v>
      </c>
      <c r="G114" t="s">
        <v>6</v>
      </c>
    </row>
    <row r="115" spans="1:7">
      <c r="A115" s="1">
        <v>2006</v>
      </c>
      <c r="B115" t="s">
        <v>217</v>
      </c>
      <c r="C115" s="9">
        <v>40634</v>
      </c>
      <c r="D115" t="s">
        <v>1789</v>
      </c>
      <c r="E115" s="10">
        <v>444.4</v>
      </c>
      <c r="F115" s="11">
        <v>0.01</v>
      </c>
      <c r="G115" t="s">
        <v>6</v>
      </c>
    </row>
    <row r="116" spans="1:7">
      <c r="A116" s="1">
        <v>2006</v>
      </c>
      <c r="B116" t="s">
        <v>217</v>
      </c>
      <c r="C116" s="9">
        <v>40252</v>
      </c>
      <c r="D116" t="s">
        <v>1789</v>
      </c>
      <c r="E116" s="10">
        <v>440</v>
      </c>
      <c r="F116" s="11">
        <v>0.01</v>
      </c>
      <c r="G116" t="s">
        <v>6</v>
      </c>
    </row>
    <row r="117" spans="1:7">
      <c r="A117" s="1">
        <v>2006</v>
      </c>
      <c r="B117" t="s">
        <v>217</v>
      </c>
      <c r="C117" s="9">
        <v>40162</v>
      </c>
      <c r="D117" t="s">
        <v>1795</v>
      </c>
      <c r="E117" s="10">
        <v>5280</v>
      </c>
      <c r="F117" s="11">
        <v>0.12</v>
      </c>
      <c r="G117" t="s">
        <v>6</v>
      </c>
    </row>
    <row r="118" spans="1:7">
      <c r="A118" s="1">
        <v>2006</v>
      </c>
      <c r="B118" t="s">
        <v>217</v>
      </c>
      <c r="C118" s="9">
        <v>40026</v>
      </c>
      <c r="D118" t="s">
        <v>1794</v>
      </c>
      <c r="E118" s="10">
        <v>3520</v>
      </c>
      <c r="F118" s="11">
        <v>0.08</v>
      </c>
      <c r="G118" t="s">
        <v>6</v>
      </c>
    </row>
    <row r="119" spans="1:7">
      <c r="A119" s="1">
        <v>2007</v>
      </c>
      <c r="B119" t="s">
        <v>210</v>
      </c>
      <c r="C119" s="9">
        <v>40634</v>
      </c>
      <c r="D119" t="s">
        <v>1789</v>
      </c>
      <c r="E119" s="10">
        <v>1060.8</v>
      </c>
      <c r="F119" s="11">
        <v>0.02</v>
      </c>
      <c r="G119" t="s">
        <v>6</v>
      </c>
    </row>
    <row r="120" spans="1:7">
      <c r="A120" s="1">
        <v>2007</v>
      </c>
      <c r="B120" t="s">
        <v>210</v>
      </c>
      <c r="C120" s="9">
        <v>40252</v>
      </c>
      <c r="D120" t="s">
        <v>1789</v>
      </c>
      <c r="E120" s="10">
        <v>1040</v>
      </c>
      <c r="F120" s="11">
        <v>0.02</v>
      </c>
      <c r="G120" t="s">
        <v>6</v>
      </c>
    </row>
    <row r="121" spans="1:7">
      <c r="A121" s="1">
        <v>2007</v>
      </c>
      <c r="B121" t="s">
        <v>210</v>
      </c>
      <c r="C121" s="9">
        <v>40026</v>
      </c>
      <c r="D121" t="s">
        <v>1794</v>
      </c>
      <c r="E121" s="10">
        <v>2600</v>
      </c>
      <c r="F121" s="11">
        <v>0.05</v>
      </c>
      <c r="G121" t="s">
        <v>6</v>
      </c>
    </row>
    <row r="122" spans="1:7">
      <c r="A122" s="1">
        <v>2008</v>
      </c>
      <c r="B122" t="s">
        <v>1796</v>
      </c>
      <c r="C122" s="9">
        <v>40634</v>
      </c>
      <c r="D122" t="s">
        <v>1789</v>
      </c>
      <c r="E122" s="10">
        <v>3465</v>
      </c>
      <c r="F122" s="11">
        <v>0.05</v>
      </c>
      <c r="G122" t="s">
        <v>6</v>
      </c>
    </row>
    <row r="123" spans="1:7">
      <c r="A123" s="1">
        <v>2008</v>
      </c>
      <c r="B123" t="s">
        <v>1796</v>
      </c>
      <c r="C123" s="9">
        <v>40252</v>
      </c>
      <c r="D123" t="s">
        <v>1789</v>
      </c>
      <c r="E123" s="10">
        <v>3300</v>
      </c>
      <c r="F123" s="11">
        <v>0.05</v>
      </c>
      <c r="G123" t="s">
        <v>6</v>
      </c>
    </row>
    <row r="124" spans="1:7">
      <c r="A124" s="1">
        <v>2009</v>
      </c>
      <c r="B124" t="s">
        <v>1797</v>
      </c>
      <c r="C124" s="9">
        <v>40634</v>
      </c>
      <c r="D124" t="s">
        <v>1789</v>
      </c>
      <c r="E124" s="10">
        <v>1387.2</v>
      </c>
      <c r="F124" s="11">
        <v>0.02</v>
      </c>
      <c r="G124" t="s">
        <v>6</v>
      </c>
    </row>
    <row r="125" spans="1:7">
      <c r="A125" s="1">
        <v>2009</v>
      </c>
      <c r="B125" t="s">
        <v>1797</v>
      </c>
      <c r="C125" s="9">
        <v>40252</v>
      </c>
      <c r="D125" t="s">
        <v>1789</v>
      </c>
      <c r="E125" s="10">
        <v>1360</v>
      </c>
      <c r="F125" s="11">
        <v>0.02</v>
      </c>
      <c r="G125" t="s">
        <v>6</v>
      </c>
    </row>
    <row r="126" spans="1:7">
      <c r="A126" s="1">
        <v>2010</v>
      </c>
      <c r="B126" t="s">
        <v>203</v>
      </c>
      <c r="C126" s="9">
        <v>40634</v>
      </c>
      <c r="D126" t="s">
        <v>1789</v>
      </c>
      <c r="E126" s="10">
        <v>1122</v>
      </c>
      <c r="F126" s="11">
        <v>0.02</v>
      </c>
      <c r="G126" t="s">
        <v>6</v>
      </c>
    </row>
    <row r="127" spans="1:7">
      <c r="A127" s="1">
        <v>2010</v>
      </c>
      <c r="B127" t="s">
        <v>203</v>
      </c>
      <c r="C127" s="9">
        <v>40252</v>
      </c>
      <c r="D127" t="s">
        <v>1789</v>
      </c>
      <c r="E127" s="10">
        <v>1100</v>
      </c>
      <c r="F127" s="11">
        <v>0.02</v>
      </c>
      <c r="G127" t="s">
        <v>6</v>
      </c>
    </row>
    <row r="128" spans="1:7">
      <c r="A128" s="1">
        <v>2011</v>
      </c>
      <c r="B128" t="s">
        <v>1798</v>
      </c>
      <c r="C128" s="9">
        <v>40634</v>
      </c>
      <c r="D128" t="s">
        <v>1789</v>
      </c>
      <c r="E128" s="10">
        <v>1825.8</v>
      </c>
      <c r="F128" s="11">
        <v>0.02</v>
      </c>
      <c r="G128" t="s">
        <v>6</v>
      </c>
    </row>
    <row r="129" spans="1:7">
      <c r="A129" s="1">
        <v>2011</v>
      </c>
      <c r="B129" t="s">
        <v>1798</v>
      </c>
      <c r="C129" s="9">
        <v>40252</v>
      </c>
      <c r="D129" t="s">
        <v>1789</v>
      </c>
      <c r="E129" s="10">
        <v>1790</v>
      </c>
      <c r="F129" s="11">
        <v>0.02</v>
      </c>
      <c r="G129" t="s">
        <v>6</v>
      </c>
    </row>
    <row r="130" spans="1:7">
      <c r="A130" s="1">
        <v>2011</v>
      </c>
      <c r="B130" t="s">
        <v>1798</v>
      </c>
      <c r="C130" s="9">
        <v>40026</v>
      </c>
      <c r="D130" t="s">
        <v>1794</v>
      </c>
      <c r="E130" s="10">
        <v>7160</v>
      </c>
      <c r="F130" s="11">
        <v>0.08</v>
      </c>
      <c r="G130" t="s">
        <v>6</v>
      </c>
    </row>
    <row r="131" spans="1:7">
      <c r="A131" s="1">
        <v>2012</v>
      </c>
      <c r="B131" t="s">
        <v>1799</v>
      </c>
      <c r="C131" s="9">
        <v>40634</v>
      </c>
      <c r="D131" t="s">
        <v>1789</v>
      </c>
      <c r="E131" s="10">
        <v>1958.83554</v>
      </c>
      <c r="F131" s="11">
        <v>0.02</v>
      </c>
      <c r="G131" t="s">
        <v>6</v>
      </c>
    </row>
    <row r="132" spans="1:7">
      <c r="A132" s="1">
        <v>2012</v>
      </c>
      <c r="B132" t="s">
        <v>1799</v>
      </c>
      <c r="C132" s="9">
        <v>40252</v>
      </c>
      <c r="D132" t="s">
        <v>1789</v>
      </c>
      <c r="E132" s="10">
        <v>1920.4270000000001</v>
      </c>
      <c r="F132" s="11">
        <v>0.02</v>
      </c>
      <c r="G132" t="s">
        <v>6</v>
      </c>
    </row>
    <row r="133" spans="1:7">
      <c r="A133" s="1">
        <v>2012</v>
      </c>
      <c r="B133" t="s">
        <v>1799</v>
      </c>
      <c r="C133" s="9">
        <v>40026</v>
      </c>
      <c r="D133" t="s">
        <v>1794</v>
      </c>
      <c r="E133" s="10">
        <v>7681.7080000000005</v>
      </c>
      <c r="F133" s="11">
        <v>0.08</v>
      </c>
      <c r="G133" t="s">
        <v>6</v>
      </c>
    </row>
    <row r="134" spans="1:7">
      <c r="A134" s="1">
        <v>2013</v>
      </c>
      <c r="B134" t="s">
        <v>240</v>
      </c>
      <c r="C134" s="9">
        <v>40756</v>
      </c>
      <c r="D134" t="s">
        <v>1794</v>
      </c>
      <c r="E134" s="10">
        <v>7732.8</v>
      </c>
      <c r="F134" s="11">
        <v>0.08</v>
      </c>
      <c r="G134" t="s">
        <v>6</v>
      </c>
    </row>
    <row r="135" spans="1:7">
      <c r="A135" s="1">
        <v>2013</v>
      </c>
      <c r="B135" t="s">
        <v>240</v>
      </c>
      <c r="C135" s="9">
        <v>40634</v>
      </c>
      <c r="D135" t="s">
        <v>1789</v>
      </c>
      <c r="E135" s="10">
        <v>1825.8</v>
      </c>
      <c r="F135" s="11">
        <v>0.02</v>
      </c>
      <c r="G135" t="s">
        <v>6</v>
      </c>
    </row>
    <row r="136" spans="1:7">
      <c r="A136" s="1">
        <v>2013</v>
      </c>
      <c r="B136" t="s">
        <v>240</v>
      </c>
      <c r="C136" s="9">
        <v>40252</v>
      </c>
      <c r="D136" t="s">
        <v>1789</v>
      </c>
      <c r="E136" s="10">
        <v>1790</v>
      </c>
      <c r="F136" s="11">
        <v>0.02</v>
      </c>
      <c r="G136" t="s">
        <v>6</v>
      </c>
    </row>
    <row r="137" spans="1:7">
      <c r="A137" s="1">
        <v>2013</v>
      </c>
      <c r="B137" t="s">
        <v>240</v>
      </c>
      <c r="C137" s="9">
        <v>40026</v>
      </c>
      <c r="D137" t="s">
        <v>1794</v>
      </c>
      <c r="E137" s="10">
        <v>7160</v>
      </c>
      <c r="F137" s="11">
        <v>0.08</v>
      </c>
      <c r="G137" t="s">
        <v>6</v>
      </c>
    </row>
    <row r="138" spans="1:7">
      <c r="A138" s="1">
        <v>2166</v>
      </c>
      <c r="B138" t="s">
        <v>382</v>
      </c>
      <c r="C138" s="9">
        <v>40634</v>
      </c>
      <c r="D138" t="s">
        <v>1789</v>
      </c>
      <c r="E138" s="10">
        <v>6334.5</v>
      </c>
      <c r="F138" s="11">
        <v>0.03</v>
      </c>
      <c r="G138" t="s">
        <v>6</v>
      </c>
    </row>
    <row r="139" spans="1:7">
      <c r="A139" s="1">
        <v>2166</v>
      </c>
      <c r="B139" t="s">
        <v>382</v>
      </c>
      <c r="C139" s="9">
        <v>40252</v>
      </c>
      <c r="D139" t="s">
        <v>1789</v>
      </c>
      <c r="E139" s="10">
        <v>6150</v>
      </c>
      <c r="F139" s="11">
        <v>0.03</v>
      </c>
      <c r="G139" t="s">
        <v>6</v>
      </c>
    </row>
    <row r="140" spans="1:7">
      <c r="A140" s="1">
        <v>2167</v>
      </c>
      <c r="B140" t="s">
        <v>378</v>
      </c>
      <c r="C140" s="9">
        <v>40634</v>
      </c>
      <c r="D140" t="s">
        <v>1789</v>
      </c>
      <c r="E140" s="10">
        <v>1958.83554</v>
      </c>
      <c r="F140" s="11">
        <v>0.02</v>
      </c>
      <c r="G140" t="s">
        <v>6</v>
      </c>
    </row>
    <row r="141" spans="1:7">
      <c r="A141" s="1">
        <v>2167</v>
      </c>
      <c r="B141" t="s">
        <v>378</v>
      </c>
      <c r="C141" s="9">
        <v>40252</v>
      </c>
      <c r="D141" t="s">
        <v>1789</v>
      </c>
      <c r="E141" s="10">
        <v>1920.4270000000001</v>
      </c>
      <c r="F141" s="11">
        <v>0.02</v>
      </c>
      <c r="G141" t="s">
        <v>6</v>
      </c>
    </row>
    <row r="142" spans="1:7">
      <c r="A142" s="1">
        <v>2168</v>
      </c>
      <c r="B142" t="s">
        <v>375</v>
      </c>
      <c r="C142" s="9">
        <v>40634</v>
      </c>
      <c r="D142" t="s">
        <v>1789</v>
      </c>
      <c r="E142" s="10">
        <v>12028.8</v>
      </c>
      <c r="F142" s="11">
        <v>0.12</v>
      </c>
      <c r="G142" t="s">
        <v>6</v>
      </c>
    </row>
    <row r="143" spans="1:7">
      <c r="A143" s="1">
        <v>2168</v>
      </c>
      <c r="B143" t="s">
        <v>375</v>
      </c>
      <c r="C143" s="9">
        <v>40252</v>
      </c>
      <c r="D143" t="s">
        <v>1789</v>
      </c>
      <c r="E143" s="10">
        <v>10740</v>
      </c>
      <c r="F143" s="11">
        <v>0.12</v>
      </c>
      <c r="G143" t="s">
        <v>6</v>
      </c>
    </row>
  </sheetData>
  <pageMargins left="0.7" right="0.7" top="0.75" bottom="0.75" header="0.3" footer="0.3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ED69-D8B4-420F-9F16-3155E40AFC0C}">
  <dimension ref="A1:P140"/>
  <sheetViews>
    <sheetView workbookViewId="0">
      <selection activeCell="C1" sqref="C1"/>
    </sheetView>
  </sheetViews>
  <sheetFormatPr defaultRowHeight="14.45"/>
  <cols>
    <col min="2" max="2" width="18.5703125" customWidth="1"/>
    <col min="3" max="3" width="17.28515625" bestFit="1" customWidth="1"/>
    <col min="4" max="4" width="15.42578125" bestFit="1" customWidth="1"/>
    <col min="5" max="5" width="10.42578125" bestFit="1" customWidth="1"/>
    <col min="6" max="6" width="9.28515625" customWidth="1"/>
    <col min="7" max="7" width="25.28515625" style="12" customWidth="1"/>
    <col min="8" max="8" width="14.140625" bestFit="1" customWidth="1"/>
    <col min="9" max="9" width="13.140625" bestFit="1" customWidth="1"/>
    <col min="10" max="10" width="11.140625" bestFit="1" customWidth="1"/>
    <col min="11" max="11" width="10.42578125" bestFit="1" customWidth="1"/>
    <col min="12" max="16" width="18.5703125" bestFit="1" customWidth="1"/>
  </cols>
  <sheetData>
    <row r="1" spans="1:16">
      <c r="B1" t="s">
        <v>129</v>
      </c>
      <c r="C1" t="s">
        <v>130</v>
      </c>
      <c r="D1" t="s">
        <v>385</v>
      </c>
      <c r="E1" t="s">
        <v>1800</v>
      </c>
      <c r="F1" t="s">
        <v>1801</v>
      </c>
      <c r="G1" s="12" t="s">
        <v>1802</v>
      </c>
      <c r="H1" t="s">
        <v>1803</v>
      </c>
      <c r="I1" t="s">
        <v>1804</v>
      </c>
      <c r="J1" t="s">
        <v>1805</v>
      </c>
      <c r="K1" t="s">
        <v>0</v>
      </c>
      <c r="L1" t="s">
        <v>1806</v>
      </c>
      <c r="M1" t="s">
        <v>1807</v>
      </c>
      <c r="N1" t="s">
        <v>1808</v>
      </c>
      <c r="O1" t="s">
        <v>1809</v>
      </c>
      <c r="P1" t="s">
        <v>1810</v>
      </c>
    </row>
    <row r="2" spans="1:16">
      <c r="A2" t="b">
        <f>ISEVEN(ROW())</f>
        <v>1</v>
      </c>
      <c r="B2" s="1">
        <v>59</v>
      </c>
      <c r="C2" t="s">
        <v>1788</v>
      </c>
      <c r="D2" t="s">
        <v>407</v>
      </c>
      <c r="E2" s="13">
        <v>9000</v>
      </c>
      <c r="F2" s="15">
        <v>0.09</v>
      </c>
      <c r="G2" s="12">
        <v>43905</v>
      </c>
      <c r="H2" s="14">
        <v>1.1000000000000001</v>
      </c>
      <c r="I2" s="16">
        <f>E2*H2</f>
        <v>9900</v>
      </c>
      <c r="J2" s="14">
        <v>0.09</v>
      </c>
      <c r="K2" t="s">
        <v>6</v>
      </c>
      <c r="L2" t="s">
        <v>1811</v>
      </c>
      <c r="M2" t="s">
        <v>1812</v>
      </c>
      <c r="N2" t="s">
        <v>1813</v>
      </c>
      <c r="O2" t="s">
        <v>1814</v>
      </c>
      <c r="P2" t="s">
        <v>1815</v>
      </c>
    </row>
    <row r="3" spans="1:16">
      <c r="A3" t="b">
        <f>ISEVEN(ROW())</f>
        <v>0</v>
      </c>
      <c r="B3" s="1">
        <v>59</v>
      </c>
      <c r="C3" t="s">
        <v>340</v>
      </c>
      <c r="D3" t="s">
        <v>635</v>
      </c>
      <c r="E3" s="13">
        <v>9000</v>
      </c>
      <c r="F3" s="15">
        <v>0.09</v>
      </c>
      <c r="G3" s="12">
        <v>43905</v>
      </c>
      <c r="H3" s="14">
        <v>1.1000000000000001</v>
      </c>
      <c r="I3" s="16">
        <f>E3*H3</f>
        <v>9900</v>
      </c>
      <c r="J3" s="14">
        <v>0.09</v>
      </c>
      <c r="K3" t="s">
        <v>6</v>
      </c>
      <c r="L3" t="s">
        <v>1811</v>
      </c>
      <c r="M3" t="s">
        <v>1812</v>
      </c>
      <c r="N3" t="s">
        <v>1813</v>
      </c>
      <c r="O3" t="s">
        <v>1814</v>
      </c>
      <c r="P3" t="s">
        <v>1815</v>
      </c>
    </row>
    <row r="4" spans="1:16">
      <c r="A4" t="b">
        <f t="shared" ref="A4:A68" si="0">ISEVEN(ROW())</f>
        <v>1</v>
      </c>
      <c r="B4" s="1">
        <v>59</v>
      </c>
      <c r="C4" t="s">
        <v>340</v>
      </c>
      <c r="D4" t="s">
        <v>635</v>
      </c>
      <c r="E4" s="13">
        <v>8000</v>
      </c>
      <c r="F4" s="15">
        <v>0.08</v>
      </c>
      <c r="G4" s="12">
        <v>44271</v>
      </c>
      <c r="H4">
        <v>95</v>
      </c>
      <c r="I4" s="13">
        <v>7600</v>
      </c>
      <c r="J4" s="15">
        <v>9.5000000000000001E-2</v>
      </c>
      <c r="K4" t="s">
        <v>6</v>
      </c>
      <c r="L4" t="s">
        <v>1811</v>
      </c>
      <c r="M4" t="s">
        <v>1812</v>
      </c>
      <c r="N4" t="s">
        <v>1813</v>
      </c>
      <c r="O4" t="s">
        <v>1814</v>
      </c>
      <c r="P4" t="s">
        <v>1815</v>
      </c>
    </row>
    <row r="5" spans="1:16">
      <c r="A5" t="b">
        <f t="shared" si="0"/>
        <v>0</v>
      </c>
      <c r="B5" s="1">
        <v>59</v>
      </c>
      <c r="C5" t="s">
        <v>340</v>
      </c>
      <c r="D5" t="s">
        <v>635</v>
      </c>
      <c r="E5" s="13">
        <v>8000</v>
      </c>
      <c r="F5" s="15">
        <v>0.08</v>
      </c>
      <c r="G5" s="12">
        <v>47923</v>
      </c>
      <c r="H5">
        <v>95</v>
      </c>
      <c r="I5" s="13">
        <v>7600</v>
      </c>
      <c r="J5" s="15">
        <v>9.5000000000000001E-2</v>
      </c>
      <c r="K5" t="s">
        <v>6</v>
      </c>
      <c r="L5" t="s">
        <v>1811</v>
      </c>
      <c r="M5" t="s">
        <v>1812</v>
      </c>
      <c r="N5" t="s">
        <v>1813</v>
      </c>
      <c r="O5" t="s">
        <v>1814</v>
      </c>
      <c r="P5" t="s">
        <v>1815</v>
      </c>
    </row>
    <row r="6" spans="1:16">
      <c r="A6" t="b">
        <f t="shared" si="0"/>
        <v>1</v>
      </c>
      <c r="B6" s="1">
        <v>70</v>
      </c>
      <c r="C6" t="s">
        <v>336</v>
      </c>
      <c r="D6" t="s">
        <v>407</v>
      </c>
      <c r="E6" s="13">
        <v>9000</v>
      </c>
      <c r="F6" s="15">
        <v>0.09</v>
      </c>
      <c r="G6" s="12">
        <v>43905</v>
      </c>
      <c r="H6" s="14">
        <v>1.1000000000000001</v>
      </c>
      <c r="I6" s="16">
        <f>E6*H6</f>
        <v>9900</v>
      </c>
      <c r="J6" s="14">
        <v>0.09</v>
      </c>
      <c r="K6" t="s">
        <v>6</v>
      </c>
      <c r="L6" t="s">
        <v>1811</v>
      </c>
      <c r="M6" t="s">
        <v>1812</v>
      </c>
      <c r="N6" t="s">
        <v>1813</v>
      </c>
      <c r="O6" t="s">
        <v>1814</v>
      </c>
      <c r="P6" t="s">
        <v>1815</v>
      </c>
    </row>
    <row r="7" spans="1:16">
      <c r="A7" t="b">
        <f t="shared" si="0"/>
        <v>0</v>
      </c>
      <c r="B7" s="1">
        <v>70</v>
      </c>
      <c r="C7" t="s">
        <v>336</v>
      </c>
      <c r="D7" t="s">
        <v>407</v>
      </c>
      <c r="E7" s="13">
        <v>8000</v>
      </c>
      <c r="F7" s="15">
        <v>0.08</v>
      </c>
      <c r="G7" s="12">
        <v>44271</v>
      </c>
      <c r="H7">
        <v>95</v>
      </c>
      <c r="I7" s="13">
        <v>7600</v>
      </c>
      <c r="J7" s="15">
        <v>9.5000000000000001E-2</v>
      </c>
      <c r="K7" t="s">
        <v>6</v>
      </c>
      <c r="L7" t="s">
        <v>1811</v>
      </c>
      <c r="M7" t="s">
        <v>1812</v>
      </c>
      <c r="N7" t="s">
        <v>1813</v>
      </c>
      <c r="O7" t="s">
        <v>1814</v>
      </c>
      <c r="P7" t="s">
        <v>1815</v>
      </c>
    </row>
    <row r="8" spans="1:16">
      <c r="A8" t="b">
        <f t="shared" si="0"/>
        <v>1</v>
      </c>
      <c r="B8" s="1">
        <v>72</v>
      </c>
      <c r="C8" t="s">
        <v>319</v>
      </c>
      <c r="D8" t="s">
        <v>407</v>
      </c>
      <c r="E8" s="13">
        <v>9000</v>
      </c>
      <c r="F8" s="15">
        <v>0.09</v>
      </c>
      <c r="G8" s="12">
        <v>43905</v>
      </c>
      <c r="H8">
        <v>95</v>
      </c>
      <c r="I8" s="16">
        <f>E8*H8</f>
        <v>855000</v>
      </c>
      <c r="J8" s="14">
        <v>0.09</v>
      </c>
      <c r="K8" t="s">
        <v>6</v>
      </c>
      <c r="L8" t="s">
        <v>1811</v>
      </c>
      <c r="M8" t="s">
        <v>1812</v>
      </c>
      <c r="N8" t="s">
        <v>1813</v>
      </c>
      <c r="O8" t="s">
        <v>1814</v>
      </c>
      <c r="P8" t="s">
        <v>1815</v>
      </c>
    </row>
    <row r="9" spans="1:16">
      <c r="A9" t="b">
        <f t="shared" si="0"/>
        <v>0</v>
      </c>
      <c r="B9" s="1">
        <v>72</v>
      </c>
      <c r="C9" t="s">
        <v>319</v>
      </c>
      <c r="D9" t="s">
        <v>407</v>
      </c>
      <c r="E9" s="13">
        <v>8000</v>
      </c>
      <c r="F9" s="15">
        <v>0.08</v>
      </c>
      <c r="G9" s="12">
        <v>44271</v>
      </c>
      <c r="H9">
        <v>95</v>
      </c>
      <c r="I9" s="13">
        <v>7600</v>
      </c>
      <c r="J9" s="15">
        <v>9.5000000000000001E-2</v>
      </c>
      <c r="K9" t="s">
        <v>6</v>
      </c>
      <c r="L9" t="s">
        <v>1811</v>
      </c>
      <c r="M9" t="s">
        <v>1812</v>
      </c>
      <c r="N9" t="s">
        <v>1813</v>
      </c>
      <c r="O9" t="s">
        <v>1814</v>
      </c>
      <c r="P9" t="s">
        <v>1815</v>
      </c>
    </row>
    <row r="10" spans="1:16">
      <c r="A10" t="b">
        <f t="shared" si="0"/>
        <v>1</v>
      </c>
      <c r="B10" s="1">
        <v>73</v>
      </c>
      <c r="C10" t="s">
        <v>253</v>
      </c>
      <c r="D10" t="s">
        <v>407</v>
      </c>
      <c r="E10" s="13">
        <v>9000</v>
      </c>
      <c r="F10" s="15">
        <v>0.09</v>
      </c>
      <c r="G10" s="12">
        <v>43905</v>
      </c>
      <c r="H10" s="14">
        <v>1.1000000000000001</v>
      </c>
      <c r="I10" s="16">
        <f>E10*H10</f>
        <v>9900</v>
      </c>
      <c r="J10" s="14">
        <v>0.09</v>
      </c>
      <c r="K10" t="s">
        <v>6</v>
      </c>
      <c r="L10" t="s">
        <v>1811</v>
      </c>
      <c r="M10" t="s">
        <v>1812</v>
      </c>
      <c r="N10" t="s">
        <v>1813</v>
      </c>
      <c r="O10" t="s">
        <v>1814</v>
      </c>
      <c r="P10" t="s">
        <v>1815</v>
      </c>
    </row>
    <row r="11" spans="1:16">
      <c r="A11" t="b">
        <f t="shared" si="0"/>
        <v>0</v>
      </c>
      <c r="B11" s="1">
        <v>73</v>
      </c>
      <c r="C11" t="s">
        <v>253</v>
      </c>
      <c r="D11" t="s">
        <v>407</v>
      </c>
      <c r="E11" s="13">
        <v>8000</v>
      </c>
      <c r="F11" s="15">
        <v>0.08</v>
      </c>
      <c r="G11" s="12">
        <v>44271</v>
      </c>
      <c r="H11">
        <v>95</v>
      </c>
      <c r="I11" s="13">
        <v>7600</v>
      </c>
      <c r="J11" s="15">
        <v>9.5000000000000001E-2</v>
      </c>
      <c r="K11" t="s">
        <v>6</v>
      </c>
      <c r="L11" t="s">
        <v>1811</v>
      </c>
      <c r="M11" t="s">
        <v>1812</v>
      </c>
      <c r="N11" t="s">
        <v>1813</v>
      </c>
      <c r="O11" t="s">
        <v>1814</v>
      </c>
      <c r="P11" t="s">
        <v>1815</v>
      </c>
    </row>
    <row r="12" spans="1:16">
      <c r="A12" t="b">
        <f t="shared" si="0"/>
        <v>1</v>
      </c>
      <c r="B12" s="1">
        <v>80</v>
      </c>
      <c r="C12" t="s">
        <v>174</v>
      </c>
      <c r="D12" t="s">
        <v>407</v>
      </c>
      <c r="E12" s="13">
        <v>9000</v>
      </c>
      <c r="F12" s="15">
        <v>0.09</v>
      </c>
      <c r="G12" s="12">
        <v>43905</v>
      </c>
      <c r="H12" s="14">
        <v>1.1000000000000001</v>
      </c>
      <c r="I12" s="16">
        <f>E12*H12</f>
        <v>9900</v>
      </c>
      <c r="J12" s="14">
        <v>0.09</v>
      </c>
      <c r="K12" t="s">
        <v>6</v>
      </c>
      <c r="L12" t="s">
        <v>1811</v>
      </c>
      <c r="M12" t="s">
        <v>1812</v>
      </c>
      <c r="N12" t="s">
        <v>1813</v>
      </c>
      <c r="O12" t="s">
        <v>1814</v>
      </c>
      <c r="P12" t="s">
        <v>1815</v>
      </c>
    </row>
    <row r="13" spans="1:16">
      <c r="A13" t="b">
        <f t="shared" si="0"/>
        <v>0</v>
      </c>
      <c r="B13" s="1">
        <v>80</v>
      </c>
      <c r="C13" t="s">
        <v>174</v>
      </c>
      <c r="D13" t="s">
        <v>407</v>
      </c>
      <c r="E13" s="13">
        <v>8000</v>
      </c>
      <c r="F13" s="15">
        <v>0.08</v>
      </c>
      <c r="G13" s="12">
        <v>44271</v>
      </c>
      <c r="H13">
        <v>95</v>
      </c>
      <c r="I13" s="13">
        <v>7600</v>
      </c>
      <c r="J13" s="15">
        <v>9.5000000000000001E-2</v>
      </c>
      <c r="K13" t="s">
        <v>6</v>
      </c>
      <c r="L13" t="s">
        <v>1811</v>
      </c>
      <c r="M13" t="s">
        <v>1812</v>
      </c>
      <c r="N13" t="s">
        <v>1813</v>
      </c>
      <c r="O13" t="s">
        <v>1814</v>
      </c>
      <c r="P13" t="s">
        <v>1815</v>
      </c>
    </row>
    <row r="14" spans="1:16">
      <c r="A14" t="b">
        <f t="shared" si="0"/>
        <v>1</v>
      </c>
      <c r="B14" s="1">
        <v>86</v>
      </c>
      <c r="C14" t="s">
        <v>310</v>
      </c>
      <c r="D14" t="s">
        <v>407</v>
      </c>
      <c r="E14" s="13">
        <v>9000</v>
      </c>
      <c r="F14" s="15">
        <v>0.09</v>
      </c>
      <c r="G14" s="12">
        <v>43905</v>
      </c>
      <c r="H14" s="14">
        <v>1.1000000000000001</v>
      </c>
      <c r="I14" s="16">
        <f>E14*H14</f>
        <v>9900</v>
      </c>
      <c r="J14" s="14">
        <v>0.09</v>
      </c>
      <c r="K14" t="s">
        <v>6</v>
      </c>
      <c r="L14" t="s">
        <v>1811</v>
      </c>
      <c r="M14" t="s">
        <v>1812</v>
      </c>
      <c r="N14" t="s">
        <v>1813</v>
      </c>
      <c r="O14" t="s">
        <v>1814</v>
      </c>
      <c r="P14" t="s">
        <v>1815</v>
      </c>
    </row>
    <row r="15" spans="1:16">
      <c r="A15" t="b">
        <f t="shared" si="0"/>
        <v>0</v>
      </c>
      <c r="B15" s="1">
        <v>86</v>
      </c>
      <c r="C15" t="s">
        <v>310</v>
      </c>
      <c r="D15" t="s">
        <v>407</v>
      </c>
      <c r="E15" s="13">
        <v>8000</v>
      </c>
      <c r="F15" s="15">
        <v>0.08</v>
      </c>
      <c r="G15" s="12">
        <v>44271</v>
      </c>
      <c r="H15">
        <v>95</v>
      </c>
      <c r="I15" s="13">
        <v>7600</v>
      </c>
      <c r="J15" s="15">
        <v>9.5000000000000001E-2</v>
      </c>
      <c r="K15" t="s">
        <v>6</v>
      </c>
      <c r="L15" t="s">
        <v>1811</v>
      </c>
      <c r="M15" t="s">
        <v>1812</v>
      </c>
      <c r="N15" t="s">
        <v>1813</v>
      </c>
      <c r="O15" t="s">
        <v>1814</v>
      </c>
      <c r="P15" t="s">
        <v>1815</v>
      </c>
    </row>
    <row r="16" spans="1:16">
      <c r="A16" t="b">
        <f t="shared" si="0"/>
        <v>1</v>
      </c>
      <c r="B16" s="1">
        <v>88</v>
      </c>
      <c r="C16" t="s">
        <v>261</v>
      </c>
      <c r="D16" t="s">
        <v>407</v>
      </c>
      <c r="E16" s="13">
        <v>9000</v>
      </c>
      <c r="F16" s="15">
        <v>0.09</v>
      </c>
      <c r="G16" s="12">
        <v>43905</v>
      </c>
      <c r="H16" s="14">
        <v>1.1000000000000001</v>
      </c>
      <c r="I16" s="16">
        <f>E16*H16</f>
        <v>9900</v>
      </c>
      <c r="J16" s="14">
        <v>0.09</v>
      </c>
      <c r="K16" t="s">
        <v>6</v>
      </c>
      <c r="L16" t="s">
        <v>1811</v>
      </c>
      <c r="M16" t="s">
        <v>1812</v>
      </c>
      <c r="N16" t="s">
        <v>1813</v>
      </c>
      <c r="O16" t="s">
        <v>1814</v>
      </c>
      <c r="P16" t="s">
        <v>1815</v>
      </c>
    </row>
    <row r="17" spans="1:16">
      <c r="A17" t="b">
        <f t="shared" si="0"/>
        <v>0</v>
      </c>
      <c r="B17" s="1">
        <v>88</v>
      </c>
      <c r="C17" t="s">
        <v>261</v>
      </c>
      <c r="D17" t="s">
        <v>407</v>
      </c>
      <c r="E17" s="13">
        <v>8000</v>
      </c>
      <c r="F17" s="15">
        <v>0.08</v>
      </c>
      <c r="G17" s="12">
        <v>44271</v>
      </c>
      <c r="H17">
        <v>95</v>
      </c>
      <c r="I17" s="13">
        <v>7600</v>
      </c>
      <c r="J17" s="15">
        <v>9.5000000000000001E-2</v>
      </c>
      <c r="K17" t="s">
        <v>6</v>
      </c>
      <c r="L17" t="s">
        <v>1811</v>
      </c>
      <c r="M17" t="s">
        <v>1812</v>
      </c>
      <c r="N17" t="s">
        <v>1813</v>
      </c>
      <c r="O17" t="s">
        <v>1814</v>
      </c>
      <c r="P17" t="s">
        <v>1815</v>
      </c>
    </row>
    <row r="18" spans="1:16">
      <c r="A18" t="b">
        <f t="shared" si="0"/>
        <v>1</v>
      </c>
      <c r="B18" s="1">
        <v>89</v>
      </c>
      <c r="C18" t="s">
        <v>315</v>
      </c>
      <c r="D18" t="s">
        <v>407</v>
      </c>
      <c r="E18" s="13">
        <v>9000</v>
      </c>
      <c r="F18" s="15">
        <v>0.09</v>
      </c>
      <c r="G18" s="12">
        <v>43905</v>
      </c>
      <c r="H18" s="14">
        <v>1.1000000000000001</v>
      </c>
      <c r="I18" s="16">
        <f>E18*H18</f>
        <v>9900</v>
      </c>
      <c r="J18" s="14">
        <v>0.09</v>
      </c>
      <c r="K18" t="s">
        <v>6</v>
      </c>
      <c r="L18" t="s">
        <v>1811</v>
      </c>
      <c r="M18" t="s">
        <v>1812</v>
      </c>
      <c r="N18" t="s">
        <v>1813</v>
      </c>
      <c r="O18" t="s">
        <v>1814</v>
      </c>
      <c r="P18" t="s">
        <v>1815</v>
      </c>
    </row>
    <row r="19" spans="1:16">
      <c r="A19" t="b">
        <f t="shared" si="0"/>
        <v>0</v>
      </c>
      <c r="B19" s="1">
        <v>89</v>
      </c>
      <c r="C19" t="s">
        <v>315</v>
      </c>
      <c r="D19" t="s">
        <v>407</v>
      </c>
      <c r="E19" s="13">
        <v>8000</v>
      </c>
      <c r="F19" s="15">
        <v>0.08</v>
      </c>
      <c r="G19" s="12">
        <v>44271</v>
      </c>
      <c r="H19">
        <v>95</v>
      </c>
      <c r="I19" s="13">
        <v>7600</v>
      </c>
      <c r="J19" s="15">
        <v>9.5000000000000001E-2</v>
      </c>
      <c r="K19" t="s">
        <v>6</v>
      </c>
      <c r="L19" t="s">
        <v>1811</v>
      </c>
      <c r="M19" t="s">
        <v>1812</v>
      </c>
      <c r="N19" t="s">
        <v>1813</v>
      </c>
      <c r="O19" t="s">
        <v>1814</v>
      </c>
      <c r="P19" t="s">
        <v>1815</v>
      </c>
    </row>
    <row r="20" spans="1:16">
      <c r="A20" t="b">
        <f t="shared" si="0"/>
        <v>1</v>
      </c>
      <c r="B20" s="1">
        <v>91</v>
      </c>
      <c r="C20" t="s">
        <v>265</v>
      </c>
      <c r="D20" t="s">
        <v>407</v>
      </c>
      <c r="E20" s="13">
        <v>9000</v>
      </c>
      <c r="F20" s="15">
        <v>0.09</v>
      </c>
      <c r="G20" s="12">
        <v>43905</v>
      </c>
      <c r="H20" s="14">
        <v>1.1000000000000001</v>
      </c>
      <c r="I20" s="16">
        <f>E20*H20</f>
        <v>9900</v>
      </c>
      <c r="J20" s="14">
        <v>0.09</v>
      </c>
      <c r="K20" t="s">
        <v>6</v>
      </c>
      <c r="L20" t="s">
        <v>1811</v>
      </c>
      <c r="M20" t="s">
        <v>1812</v>
      </c>
      <c r="N20" t="s">
        <v>1813</v>
      </c>
      <c r="O20" t="s">
        <v>1814</v>
      </c>
      <c r="P20" t="s">
        <v>1815</v>
      </c>
    </row>
    <row r="21" spans="1:16">
      <c r="A21" t="b">
        <f t="shared" si="0"/>
        <v>0</v>
      </c>
      <c r="B21" s="1">
        <v>91</v>
      </c>
      <c r="C21" t="s">
        <v>265</v>
      </c>
      <c r="D21" t="s">
        <v>407</v>
      </c>
      <c r="E21" s="13">
        <v>8000</v>
      </c>
      <c r="F21" s="15">
        <v>0.08</v>
      </c>
      <c r="G21" s="12">
        <v>44271</v>
      </c>
      <c r="H21">
        <v>95</v>
      </c>
      <c r="I21" s="13">
        <v>7600</v>
      </c>
      <c r="J21" s="15">
        <v>9.5000000000000001E-2</v>
      </c>
      <c r="K21" t="s">
        <v>6</v>
      </c>
      <c r="L21" t="s">
        <v>1811</v>
      </c>
      <c r="M21" t="s">
        <v>1812</v>
      </c>
      <c r="N21" t="s">
        <v>1813</v>
      </c>
      <c r="O21" t="s">
        <v>1814</v>
      </c>
      <c r="P21" t="s">
        <v>1815</v>
      </c>
    </row>
    <row r="22" spans="1:16">
      <c r="A22" t="b">
        <f t="shared" si="0"/>
        <v>1</v>
      </c>
      <c r="B22" s="1">
        <v>92</v>
      </c>
      <c r="C22" t="s">
        <v>269</v>
      </c>
      <c r="D22" t="s">
        <v>407</v>
      </c>
      <c r="E22" s="13">
        <v>9000</v>
      </c>
      <c r="F22" s="15">
        <v>0.09</v>
      </c>
      <c r="G22" s="12">
        <v>43905</v>
      </c>
      <c r="H22" s="14">
        <v>1.1000000000000001</v>
      </c>
      <c r="I22" s="16">
        <f>E22*H22</f>
        <v>9900</v>
      </c>
      <c r="J22" s="14">
        <v>0.09</v>
      </c>
      <c r="K22" t="s">
        <v>6</v>
      </c>
      <c r="L22" t="s">
        <v>1811</v>
      </c>
      <c r="M22" t="s">
        <v>1812</v>
      </c>
      <c r="N22" t="s">
        <v>1813</v>
      </c>
      <c r="O22" t="s">
        <v>1814</v>
      </c>
      <c r="P22" t="s">
        <v>1815</v>
      </c>
    </row>
    <row r="23" spans="1:16">
      <c r="A23" t="b">
        <f t="shared" si="0"/>
        <v>0</v>
      </c>
      <c r="B23" s="1">
        <v>92</v>
      </c>
      <c r="C23" t="s">
        <v>269</v>
      </c>
      <c r="D23" t="s">
        <v>407</v>
      </c>
      <c r="E23" s="13">
        <v>8000</v>
      </c>
      <c r="F23" s="15">
        <v>0.08</v>
      </c>
      <c r="G23" s="12">
        <v>44271</v>
      </c>
      <c r="H23">
        <v>95</v>
      </c>
      <c r="I23" s="13">
        <v>7600</v>
      </c>
      <c r="J23" s="15">
        <v>9.5000000000000001E-2</v>
      </c>
      <c r="K23" t="s">
        <v>6</v>
      </c>
      <c r="L23" t="s">
        <v>1811</v>
      </c>
      <c r="M23" t="s">
        <v>1812</v>
      </c>
      <c r="N23" t="s">
        <v>1813</v>
      </c>
      <c r="O23" t="s">
        <v>1814</v>
      </c>
      <c r="P23" t="s">
        <v>1815</v>
      </c>
    </row>
    <row r="24" spans="1:16">
      <c r="A24" t="b">
        <f t="shared" si="0"/>
        <v>1</v>
      </c>
      <c r="B24" s="1">
        <v>93</v>
      </c>
      <c r="C24" t="s">
        <v>294</v>
      </c>
      <c r="D24" t="s">
        <v>407</v>
      </c>
      <c r="E24" s="13">
        <v>9000</v>
      </c>
      <c r="F24" s="15">
        <v>0.09</v>
      </c>
      <c r="G24" s="12">
        <v>43905</v>
      </c>
      <c r="H24" s="14">
        <v>1.1000000000000001</v>
      </c>
      <c r="I24" s="16">
        <f>E24*H24</f>
        <v>9900</v>
      </c>
      <c r="J24" s="14">
        <v>0.09</v>
      </c>
      <c r="K24" t="s">
        <v>6</v>
      </c>
      <c r="L24" t="s">
        <v>1811</v>
      </c>
      <c r="M24" t="s">
        <v>1812</v>
      </c>
      <c r="N24" t="s">
        <v>1813</v>
      </c>
      <c r="O24" t="s">
        <v>1814</v>
      </c>
      <c r="P24" t="s">
        <v>1815</v>
      </c>
    </row>
    <row r="25" spans="1:16">
      <c r="A25" t="b">
        <f t="shared" si="0"/>
        <v>0</v>
      </c>
      <c r="B25" s="1">
        <v>93</v>
      </c>
      <c r="C25" t="s">
        <v>294</v>
      </c>
      <c r="D25" t="s">
        <v>407</v>
      </c>
      <c r="E25" s="13">
        <v>8000</v>
      </c>
      <c r="F25" s="15">
        <v>0.08</v>
      </c>
      <c r="G25" s="12">
        <v>44271</v>
      </c>
      <c r="H25">
        <v>95</v>
      </c>
      <c r="I25" s="13">
        <v>7600</v>
      </c>
      <c r="J25" s="15">
        <v>9.5000000000000001E-2</v>
      </c>
      <c r="K25" t="s">
        <v>6</v>
      </c>
      <c r="L25" t="s">
        <v>1811</v>
      </c>
      <c r="M25" t="s">
        <v>1812</v>
      </c>
      <c r="N25" t="s">
        <v>1813</v>
      </c>
      <c r="O25" t="s">
        <v>1814</v>
      </c>
      <c r="P25" t="s">
        <v>1815</v>
      </c>
    </row>
    <row r="26" spans="1:16">
      <c r="A26" t="b">
        <f t="shared" si="0"/>
        <v>1</v>
      </c>
      <c r="B26" s="1">
        <v>94</v>
      </c>
      <c r="C26" t="s">
        <v>246</v>
      </c>
      <c r="D26" t="s">
        <v>407</v>
      </c>
      <c r="E26" s="13">
        <v>9000</v>
      </c>
      <c r="F26" s="15">
        <v>0.09</v>
      </c>
      <c r="G26" s="12">
        <v>43905</v>
      </c>
      <c r="H26" s="14">
        <v>1.1000000000000001</v>
      </c>
      <c r="I26" s="16">
        <f>E26*H26</f>
        <v>9900</v>
      </c>
      <c r="J26" s="14">
        <v>0.09</v>
      </c>
      <c r="K26" t="s">
        <v>6</v>
      </c>
      <c r="L26" t="s">
        <v>1811</v>
      </c>
      <c r="M26" t="s">
        <v>1812</v>
      </c>
      <c r="N26" t="s">
        <v>1813</v>
      </c>
      <c r="O26" t="s">
        <v>1814</v>
      </c>
      <c r="P26" t="s">
        <v>1815</v>
      </c>
    </row>
    <row r="27" spans="1:16">
      <c r="A27" t="b">
        <f t="shared" si="0"/>
        <v>0</v>
      </c>
      <c r="B27" s="1">
        <v>94</v>
      </c>
      <c r="C27" t="s">
        <v>246</v>
      </c>
      <c r="D27" t="s">
        <v>407</v>
      </c>
      <c r="E27" s="13">
        <v>8000</v>
      </c>
      <c r="F27" s="15">
        <v>0.08</v>
      </c>
      <c r="G27" s="12">
        <v>44271</v>
      </c>
      <c r="H27">
        <v>95</v>
      </c>
      <c r="I27" s="13">
        <v>7600</v>
      </c>
      <c r="J27" s="15">
        <v>9.5000000000000001E-2</v>
      </c>
      <c r="K27" t="s">
        <v>6</v>
      </c>
      <c r="L27" t="s">
        <v>1811</v>
      </c>
      <c r="M27" t="s">
        <v>1812</v>
      </c>
      <c r="N27" t="s">
        <v>1813</v>
      </c>
      <c r="O27" t="s">
        <v>1814</v>
      </c>
      <c r="P27" t="s">
        <v>1815</v>
      </c>
    </row>
    <row r="28" spans="1:16">
      <c r="A28" t="b">
        <f t="shared" si="0"/>
        <v>1</v>
      </c>
      <c r="B28" s="1">
        <v>95</v>
      </c>
      <c r="C28" t="s">
        <v>281</v>
      </c>
      <c r="D28" t="s">
        <v>407</v>
      </c>
      <c r="E28" s="13">
        <v>9000</v>
      </c>
      <c r="F28" s="15">
        <v>0.09</v>
      </c>
      <c r="G28" s="12">
        <v>43905</v>
      </c>
      <c r="H28" s="14">
        <v>1.1000000000000001</v>
      </c>
      <c r="I28" s="16">
        <f>E28*H28</f>
        <v>9900</v>
      </c>
      <c r="J28" s="14">
        <v>0.09</v>
      </c>
      <c r="K28" t="s">
        <v>6</v>
      </c>
      <c r="L28" t="s">
        <v>1811</v>
      </c>
      <c r="M28" t="s">
        <v>1812</v>
      </c>
      <c r="N28" t="s">
        <v>1813</v>
      </c>
      <c r="O28" t="s">
        <v>1814</v>
      </c>
      <c r="P28" t="s">
        <v>1815</v>
      </c>
    </row>
    <row r="29" spans="1:16">
      <c r="A29" t="b">
        <f t="shared" si="0"/>
        <v>0</v>
      </c>
      <c r="B29" s="1">
        <v>95</v>
      </c>
      <c r="C29" t="s">
        <v>281</v>
      </c>
      <c r="D29" t="s">
        <v>407</v>
      </c>
      <c r="E29" s="13">
        <v>8000</v>
      </c>
      <c r="F29" s="15">
        <v>0.08</v>
      </c>
      <c r="G29" s="12">
        <v>44271</v>
      </c>
      <c r="H29">
        <v>95</v>
      </c>
      <c r="I29" s="13">
        <v>7600</v>
      </c>
      <c r="J29" s="15">
        <v>9.5000000000000001E-2</v>
      </c>
      <c r="K29" t="s">
        <v>6</v>
      </c>
      <c r="L29" t="s">
        <v>1811</v>
      </c>
      <c r="M29" t="s">
        <v>1812</v>
      </c>
      <c r="N29" t="s">
        <v>1813</v>
      </c>
      <c r="O29" t="s">
        <v>1814</v>
      </c>
      <c r="P29" t="s">
        <v>1815</v>
      </c>
    </row>
    <row r="30" spans="1:16">
      <c r="A30" t="b">
        <f t="shared" si="0"/>
        <v>1</v>
      </c>
      <c r="B30" s="1">
        <v>100</v>
      </c>
      <c r="C30" t="s">
        <v>302</v>
      </c>
      <c r="D30" t="s">
        <v>407</v>
      </c>
      <c r="E30" s="13">
        <v>9000</v>
      </c>
      <c r="F30" s="15">
        <v>0.09</v>
      </c>
      <c r="G30" s="12">
        <v>43905</v>
      </c>
      <c r="H30" s="14">
        <v>1.1000000000000001</v>
      </c>
      <c r="I30" s="16">
        <f>E30*H30</f>
        <v>9900</v>
      </c>
      <c r="J30" s="14">
        <v>0.09</v>
      </c>
      <c r="K30" t="s">
        <v>6</v>
      </c>
      <c r="L30" t="s">
        <v>1811</v>
      </c>
      <c r="M30" t="s">
        <v>1812</v>
      </c>
      <c r="N30" t="s">
        <v>1813</v>
      </c>
      <c r="O30" t="s">
        <v>1814</v>
      </c>
      <c r="P30" t="s">
        <v>1815</v>
      </c>
    </row>
    <row r="31" spans="1:16">
      <c r="A31" t="b">
        <f t="shared" si="0"/>
        <v>0</v>
      </c>
      <c r="B31" s="1">
        <v>100</v>
      </c>
      <c r="C31" t="s">
        <v>302</v>
      </c>
      <c r="D31" t="s">
        <v>407</v>
      </c>
      <c r="E31" s="13">
        <v>8000</v>
      </c>
      <c r="F31" s="15">
        <v>0.08</v>
      </c>
      <c r="G31" s="12">
        <v>44271</v>
      </c>
      <c r="H31">
        <v>95</v>
      </c>
      <c r="I31" s="13">
        <v>7600</v>
      </c>
      <c r="J31" s="15">
        <v>9.5000000000000001E-2</v>
      </c>
      <c r="K31" t="s">
        <v>6</v>
      </c>
      <c r="L31" t="s">
        <v>1811</v>
      </c>
      <c r="M31" t="s">
        <v>1812</v>
      </c>
      <c r="N31" t="s">
        <v>1813</v>
      </c>
      <c r="O31" t="s">
        <v>1814</v>
      </c>
      <c r="P31" t="s">
        <v>1815</v>
      </c>
    </row>
    <row r="32" spans="1:16">
      <c r="A32" t="b">
        <f t="shared" si="0"/>
        <v>1</v>
      </c>
      <c r="B32" s="1">
        <v>101</v>
      </c>
      <c r="C32" t="s">
        <v>298</v>
      </c>
      <c r="D32" t="s">
        <v>407</v>
      </c>
      <c r="E32" s="13">
        <v>9000</v>
      </c>
      <c r="F32" s="15">
        <v>0.09</v>
      </c>
      <c r="G32" s="12">
        <v>43905</v>
      </c>
      <c r="H32" s="14">
        <v>1.1000000000000001</v>
      </c>
      <c r="I32" s="16">
        <f>E32*H32</f>
        <v>9900</v>
      </c>
      <c r="J32" s="14">
        <v>0.09</v>
      </c>
      <c r="K32" t="s">
        <v>6</v>
      </c>
      <c r="L32" t="s">
        <v>1811</v>
      </c>
      <c r="M32" t="s">
        <v>1812</v>
      </c>
      <c r="N32" t="s">
        <v>1813</v>
      </c>
      <c r="O32" t="s">
        <v>1814</v>
      </c>
      <c r="P32" t="s">
        <v>1815</v>
      </c>
    </row>
    <row r="33" spans="1:16">
      <c r="A33" t="b">
        <f t="shared" si="0"/>
        <v>0</v>
      </c>
      <c r="B33" s="1">
        <v>101</v>
      </c>
      <c r="C33" t="s">
        <v>298</v>
      </c>
      <c r="D33" t="s">
        <v>407</v>
      </c>
      <c r="E33" s="13">
        <v>8000</v>
      </c>
      <c r="F33" s="15">
        <v>0.08</v>
      </c>
      <c r="G33" s="12">
        <v>44271</v>
      </c>
      <c r="H33">
        <v>95</v>
      </c>
      <c r="I33" s="13">
        <v>7600</v>
      </c>
      <c r="J33" s="15">
        <v>9.5000000000000001E-2</v>
      </c>
      <c r="K33" t="s">
        <v>6</v>
      </c>
      <c r="L33" t="s">
        <v>1811</v>
      </c>
      <c r="M33" t="s">
        <v>1812</v>
      </c>
      <c r="N33" t="s">
        <v>1813</v>
      </c>
      <c r="O33" t="s">
        <v>1814</v>
      </c>
      <c r="P33" t="s">
        <v>1815</v>
      </c>
    </row>
    <row r="34" spans="1:16">
      <c r="A34" t="b">
        <f t="shared" si="0"/>
        <v>1</v>
      </c>
      <c r="B34" s="1">
        <v>104</v>
      </c>
      <c r="C34" t="s">
        <v>306</v>
      </c>
      <c r="D34" t="s">
        <v>407</v>
      </c>
      <c r="E34" s="13">
        <v>9000</v>
      </c>
      <c r="F34" s="15">
        <v>0.09</v>
      </c>
      <c r="G34" s="12">
        <v>43905</v>
      </c>
      <c r="H34" s="14">
        <v>1.1000000000000001</v>
      </c>
      <c r="I34" s="16">
        <f>E34*H34</f>
        <v>9900</v>
      </c>
      <c r="J34" s="14">
        <v>0.09</v>
      </c>
      <c r="K34" t="s">
        <v>6</v>
      </c>
      <c r="L34" t="s">
        <v>1811</v>
      </c>
      <c r="M34" t="s">
        <v>1812</v>
      </c>
      <c r="N34" t="s">
        <v>1813</v>
      </c>
      <c r="O34" t="s">
        <v>1814</v>
      </c>
      <c r="P34" t="s">
        <v>1815</v>
      </c>
    </row>
    <row r="35" spans="1:16">
      <c r="A35" t="b">
        <f t="shared" si="0"/>
        <v>0</v>
      </c>
      <c r="B35" s="1">
        <v>104</v>
      </c>
      <c r="C35" t="s">
        <v>306</v>
      </c>
      <c r="D35" t="s">
        <v>407</v>
      </c>
      <c r="E35" s="13">
        <v>8000</v>
      </c>
      <c r="F35" s="15">
        <v>0.08</v>
      </c>
      <c r="G35" s="12">
        <v>44271</v>
      </c>
      <c r="H35">
        <v>95</v>
      </c>
      <c r="I35" s="13">
        <v>7600</v>
      </c>
      <c r="J35" s="15">
        <v>9.5000000000000001E-2</v>
      </c>
      <c r="K35" t="s">
        <v>6</v>
      </c>
      <c r="L35" t="s">
        <v>1811</v>
      </c>
      <c r="M35" t="s">
        <v>1812</v>
      </c>
      <c r="N35" t="s">
        <v>1813</v>
      </c>
      <c r="O35" t="s">
        <v>1814</v>
      </c>
      <c r="P35" t="s">
        <v>1815</v>
      </c>
    </row>
    <row r="36" spans="1:16">
      <c r="A36" t="b">
        <f t="shared" si="0"/>
        <v>1</v>
      </c>
      <c r="B36" s="1">
        <v>110</v>
      </c>
      <c r="C36" t="s">
        <v>277</v>
      </c>
      <c r="D36" t="s">
        <v>407</v>
      </c>
      <c r="E36" s="13">
        <v>9000</v>
      </c>
      <c r="F36" s="15">
        <v>0.09</v>
      </c>
      <c r="G36" s="12">
        <v>43905</v>
      </c>
      <c r="H36" s="14">
        <v>1.1000000000000001</v>
      </c>
      <c r="I36" s="16">
        <f>E36*H36</f>
        <v>9900</v>
      </c>
      <c r="J36" s="14">
        <v>0.09</v>
      </c>
      <c r="K36" t="s">
        <v>6</v>
      </c>
      <c r="L36" t="s">
        <v>1811</v>
      </c>
      <c r="M36" t="s">
        <v>1812</v>
      </c>
      <c r="N36" t="s">
        <v>1813</v>
      </c>
      <c r="O36" t="s">
        <v>1814</v>
      </c>
      <c r="P36" t="s">
        <v>1815</v>
      </c>
    </row>
    <row r="37" spans="1:16">
      <c r="A37" t="b">
        <f t="shared" si="0"/>
        <v>0</v>
      </c>
      <c r="B37" s="1">
        <v>110</v>
      </c>
      <c r="C37" t="s">
        <v>277</v>
      </c>
      <c r="D37" t="s">
        <v>407</v>
      </c>
      <c r="E37" s="13">
        <v>8000</v>
      </c>
      <c r="F37" s="15">
        <v>0.08</v>
      </c>
      <c r="G37" s="12">
        <v>44271</v>
      </c>
      <c r="H37">
        <v>95</v>
      </c>
      <c r="I37" s="13">
        <v>7600</v>
      </c>
      <c r="J37" s="15">
        <v>9.5000000000000001E-2</v>
      </c>
      <c r="K37" t="s">
        <v>6</v>
      </c>
      <c r="L37" t="s">
        <v>1811</v>
      </c>
      <c r="M37" t="s">
        <v>1812</v>
      </c>
      <c r="N37" t="s">
        <v>1813</v>
      </c>
      <c r="O37" t="s">
        <v>1814</v>
      </c>
      <c r="P37" t="s">
        <v>1815</v>
      </c>
    </row>
    <row r="38" spans="1:16">
      <c r="A38" t="b">
        <f t="shared" si="0"/>
        <v>1</v>
      </c>
      <c r="B38" s="1">
        <v>111</v>
      </c>
      <c r="C38" t="s">
        <v>273</v>
      </c>
      <c r="D38" t="s">
        <v>407</v>
      </c>
      <c r="E38" s="13">
        <v>9000</v>
      </c>
      <c r="F38" s="15">
        <v>0.09</v>
      </c>
      <c r="G38" s="12">
        <v>43905</v>
      </c>
      <c r="H38" s="14">
        <v>1.1000000000000001</v>
      </c>
      <c r="I38" s="16">
        <f>E38*H38</f>
        <v>9900</v>
      </c>
      <c r="J38" s="14">
        <v>0.09</v>
      </c>
      <c r="K38" t="s">
        <v>6</v>
      </c>
      <c r="L38" t="s">
        <v>1811</v>
      </c>
      <c r="M38" t="s">
        <v>1812</v>
      </c>
      <c r="N38" t="s">
        <v>1813</v>
      </c>
      <c r="O38" t="s">
        <v>1814</v>
      </c>
      <c r="P38" t="s">
        <v>1815</v>
      </c>
    </row>
    <row r="39" spans="1:16">
      <c r="A39" t="b">
        <f t="shared" si="0"/>
        <v>0</v>
      </c>
      <c r="B39" s="1">
        <v>111</v>
      </c>
      <c r="C39" t="s">
        <v>273</v>
      </c>
      <c r="D39" t="s">
        <v>407</v>
      </c>
      <c r="E39" s="13">
        <v>8000</v>
      </c>
      <c r="F39" s="15">
        <v>0.08</v>
      </c>
      <c r="G39" s="12">
        <v>44271</v>
      </c>
      <c r="H39">
        <v>95</v>
      </c>
      <c r="I39" s="13">
        <v>7600</v>
      </c>
      <c r="J39" s="15">
        <v>9.5000000000000001E-2</v>
      </c>
      <c r="K39" t="s">
        <v>6</v>
      </c>
      <c r="L39" t="s">
        <v>1811</v>
      </c>
      <c r="M39" t="s">
        <v>1812</v>
      </c>
      <c r="N39" t="s">
        <v>1813</v>
      </c>
      <c r="O39" t="s">
        <v>1814</v>
      </c>
      <c r="P39" t="s">
        <v>1815</v>
      </c>
    </row>
    <row r="40" spans="1:16">
      <c r="A40" t="b">
        <f t="shared" si="0"/>
        <v>1</v>
      </c>
      <c r="B40" s="1">
        <v>115</v>
      </c>
      <c r="C40" t="s">
        <v>290</v>
      </c>
      <c r="D40" t="s">
        <v>407</v>
      </c>
      <c r="E40" s="13">
        <v>9000</v>
      </c>
      <c r="F40" s="15">
        <v>0.09</v>
      </c>
      <c r="G40" s="12">
        <v>43905</v>
      </c>
      <c r="H40" s="14">
        <v>1.1000000000000001</v>
      </c>
      <c r="I40" s="16">
        <f>E40*H40</f>
        <v>9900</v>
      </c>
      <c r="J40" s="14">
        <v>0.09</v>
      </c>
      <c r="K40" t="s">
        <v>6</v>
      </c>
      <c r="L40" t="s">
        <v>1811</v>
      </c>
      <c r="M40" t="s">
        <v>1812</v>
      </c>
      <c r="N40" t="s">
        <v>1813</v>
      </c>
      <c r="O40" t="s">
        <v>1814</v>
      </c>
      <c r="P40" t="s">
        <v>1815</v>
      </c>
    </row>
    <row r="41" spans="1:16">
      <c r="A41" t="b">
        <f t="shared" si="0"/>
        <v>0</v>
      </c>
      <c r="B41" s="1">
        <v>115</v>
      </c>
      <c r="C41" t="s">
        <v>290</v>
      </c>
      <c r="D41" t="s">
        <v>407</v>
      </c>
      <c r="E41" s="13">
        <v>8000</v>
      </c>
      <c r="F41" s="15">
        <v>0.08</v>
      </c>
      <c r="G41" s="12">
        <v>44271</v>
      </c>
      <c r="H41">
        <v>95</v>
      </c>
      <c r="I41" s="13">
        <v>7600</v>
      </c>
      <c r="J41" s="15">
        <v>9.5000000000000001E-2</v>
      </c>
      <c r="K41" t="s">
        <v>6</v>
      </c>
      <c r="L41" t="s">
        <v>1811</v>
      </c>
      <c r="M41" t="s">
        <v>1812</v>
      </c>
      <c r="N41" t="s">
        <v>1813</v>
      </c>
      <c r="O41" t="s">
        <v>1814</v>
      </c>
      <c r="P41" t="s">
        <v>1815</v>
      </c>
    </row>
    <row r="42" spans="1:16">
      <c r="A42" t="b">
        <f t="shared" si="0"/>
        <v>1</v>
      </c>
      <c r="B42" s="1">
        <v>161</v>
      </c>
      <c r="C42" t="s">
        <v>364</v>
      </c>
      <c r="D42" t="s">
        <v>407</v>
      </c>
      <c r="E42" s="13">
        <v>9000</v>
      </c>
      <c r="F42" s="15">
        <v>0.09</v>
      </c>
      <c r="G42" s="12">
        <v>43905</v>
      </c>
      <c r="H42" s="14">
        <v>1.1000000000000001</v>
      </c>
      <c r="I42" s="16">
        <f>E42*H42</f>
        <v>9900</v>
      </c>
      <c r="J42" s="14">
        <v>0.09</v>
      </c>
      <c r="K42" t="s">
        <v>6</v>
      </c>
      <c r="L42" t="s">
        <v>1811</v>
      </c>
      <c r="M42" t="s">
        <v>1812</v>
      </c>
      <c r="N42" t="s">
        <v>1813</v>
      </c>
      <c r="O42" t="s">
        <v>1814</v>
      </c>
      <c r="P42" t="s">
        <v>1815</v>
      </c>
    </row>
    <row r="43" spans="1:16">
      <c r="A43" t="b">
        <f t="shared" si="0"/>
        <v>0</v>
      </c>
      <c r="B43" s="1">
        <v>161</v>
      </c>
      <c r="C43" t="s">
        <v>364</v>
      </c>
      <c r="D43" t="s">
        <v>407</v>
      </c>
      <c r="E43" s="13">
        <v>8000</v>
      </c>
      <c r="F43" s="15">
        <v>0.08</v>
      </c>
      <c r="G43" s="12">
        <v>44271</v>
      </c>
      <c r="H43">
        <v>95</v>
      </c>
      <c r="I43" s="13">
        <v>7600</v>
      </c>
      <c r="J43" s="15">
        <v>9.5000000000000001E-2</v>
      </c>
      <c r="K43" t="s">
        <v>6</v>
      </c>
      <c r="L43" t="s">
        <v>1811</v>
      </c>
      <c r="M43" t="s">
        <v>1812</v>
      </c>
      <c r="N43" t="s">
        <v>1813</v>
      </c>
      <c r="O43" t="s">
        <v>1814</v>
      </c>
      <c r="P43" t="s">
        <v>1815</v>
      </c>
    </row>
    <row r="44" spans="1:16">
      <c r="A44" t="b">
        <f t="shared" si="0"/>
        <v>1</v>
      </c>
      <c r="B44" s="1">
        <v>162</v>
      </c>
      <c r="C44" t="s">
        <v>324</v>
      </c>
      <c r="D44" t="s">
        <v>407</v>
      </c>
      <c r="E44" s="13">
        <v>9000</v>
      </c>
      <c r="F44" s="15">
        <v>0.09</v>
      </c>
      <c r="G44" s="12">
        <v>43905</v>
      </c>
      <c r="H44" s="14">
        <v>1.1000000000000001</v>
      </c>
      <c r="I44" s="16">
        <f>E44*H44</f>
        <v>9900</v>
      </c>
      <c r="J44" s="14">
        <v>0.09</v>
      </c>
      <c r="K44" t="s">
        <v>6</v>
      </c>
      <c r="L44" t="s">
        <v>1811</v>
      </c>
      <c r="M44" t="s">
        <v>1812</v>
      </c>
      <c r="N44" t="s">
        <v>1813</v>
      </c>
      <c r="O44" t="s">
        <v>1814</v>
      </c>
      <c r="P44" t="s">
        <v>1815</v>
      </c>
    </row>
    <row r="45" spans="1:16">
      <c r="A45" t="b">
        <f t="shared" si="0"/>
        <v>0</v>
      </c>
      <c r="B45" s="1">
        <v>162</v>
      </c>
      <c r="C45" t="s">
        <v>324</v>
      </c>
      <c r="D45" t="s">
        <v>407</v>
      </c>
      <c r="E45" s="13">
        <v>8000</v>
      </c>
      <c r="F45" s="15">
        <v>0.08</v>
      </c>
      <c r="G45" s="12">
        <v>44271</v>
      </c>
      <c r="H45">
        <v>95</v>
      </c>
      <c r="I45" s="13">
        <v>7600</v>
      </c>
      <c r="J45" s="15">
        <v>9.5000000000000001E-2</v>
      </c>
      <c r="K45" t="s">
        <v>6</v>
      </c>
      <c r="L45" t="s">
        <v>1811</v>
      </c>
      <c r="M45" t="s">
        <v>1812</v>
      </c>
      <c r="N45" t="s">
        <v>1813</v>
      </c>
      <c r="O45" t="s">
        <v>1814</v>
      </c>
      <c r="P45" t="s">
        <v>1815</v>
      </c>
    </row>
    <row r="46" spans="1:16">
      <c r="A46" t="b">
        <f t="shared" si="0"/>
        <v>1</v>
      </c>
      <c r="B46" s="1">
        <v>166</v>
      </c>
      <c r="C46" t="s">
        <v>366</v>
      </c>
      <c r="D46" t="s">
        <v>407</v>
      </c>
      <c r="E46" s="13">
        <v>9000</v>
      </c>
      <c r="F46" s="15">
        <v>0.09</v>
      </c>
      <c r="G46" s="12">
        <v>43905</v>
      </c>
      <c r="H46" s="14">
        <v>1.1000000000000001</v>
      </c>
      <c r="I46" s="16">
        <f>E46*H46</f>
        <v>9900</v>
      </c>
      <c r="J46" s="14">
        <v>0.09</v>
      </c>
      <c r="K46" t="s">
        <v>6</v>
      </c>
      <c r="L46" t="s">
        <v>1811</v>
      </c>
      <c r="M46" t="s">
        <v>1812</v>
      </c>
      <c r="N46" t="s">
        <v>1813</v>
      </c>
      <c r="O46" t="s">
        <v>1814</v>
      </c>
      <c r="P46" t="s">
        <v>1815</v>
      </c>
    </row>
    <row r="47" spans="1:16">
      <c r="A47" t="b">
        <f t="shared" si="0"/>
        <v>0</v>
      </c>
      <c r="B47" s="1">
        <v>166</v>
      </c>
      <c r="C47" t="s">
        <v>366</v>
      </c>
      <c r="D47" t="s">
        <v>407</v>
      </c>
      <c r="E47" s="13">
        <v>8000</v>
      </c>
      <c r="F47" s="15">
        <v>0.08</v>
      </c>
      <c r="G47" s="12">
        <v>44271</v>
      </c>
      <c r="H47">
        <v>95</v>
      </c>
      <c r="I47" s="13">
        <v>7600</v>
      </c>
      <c r="J47" s="15">
        <v>9.5000000000000001E-2</v>
      </c>
      <c r="K47" t="s">
        <v>6</v>
      </c>
      <c r="L47" t="s">
        <v>1811</v>
      </c>
      <c r="M47" t="s">
        <v>1812</v>
      </c>
      <c r="N47" t="s">
        <v>1813</v>
      </c>
      <c r="O47" t="s">
        <v>1814</v>
      </c>
      <c r="P47" t="s">
        <v>1815</v>
      </c>
    </row>
    <row r="48" spans="1:16">
      <c r="A48" t="b">
        <f t="shared" si="0"/>
        <v>1</v>
      </c>
      <c r="B48" s="1">
        <v>167</v>
      </c>
      <c r="C48" t="s">
        <v>346</v>
      </c>
      <c r="D48" t="s">
        <v>407</v>
      </c>
      <c r="E48" s="13">
        <v>9000</v>
      </c>
      <c r="F48" s="15">
        <v>0.09</v>
      </c>
      <c r="G48" s="12">
        <v>43905</v>
      </c>
      <c r="H48" s="14">
        <v>1.1000000000000001</v>
      </c>
      <c r="I48" s="16">
        <f>E48*H48</f>
        <v>9900</v>
      </c>
      <c r="J48" s="14">
        <v>0.09</v>
      </c>
      <c r="K48" t="s">
        <v>6</v>
      </c>
      <c r="L48" t="s">
        <v>1811</v>
      </c>
      <c r="M48" t="s">
        <v>1812</v>
      </c>
      <c r="N48" t="s">
        <v>1813</v>
      </c>
      <c r="O48" t="s">
        <v>1814</v>
      </c>
      <c r="P48" t="s">
        <v>1815</v>
      </c>
    </row>
    <row r="49" spans="1:16">
      <c r="A49" t="b">
        <f t="shared" si="0"/>
        <v>0</v>
      </c>
      <c r="B49" s="1">
        <v>167</v>
      </c>
      <c r="C49" t="s">
        <v>346</v>
      </c>
      <c r="D49" t="s">
        <v>407</v>
      </c>
      <c r="E49" s="13">
        <v>8000</v>
      </c>
      <c r="F49" s="15">
        <v>0.08</v>
      </c>
      <c r="G49" s="12">
        <v>44271</v>
      </c>
      <c r="H49">
        <v>95</v>
      </c>
      <c r="I49" s="13">
        <v>7600</v>
      </c>
      <c r="J49" s="15">
        <v>9.5000000000000001E-2</v>
      </c>
      <c r="K49" t="s">
        <v>6</v>
      </c>
      <c r="L49" t="s">
        <v>1811</v>
      </c>
      <c r="M49" t="s">
        <v>1812</v>
      </c>
      <c r="N49" t="s">
        <v>1813</v>
      </c>
      <c r="O49" t="s">
        <v>1814</v>
      </c>
      <c r="P49" t="s">
        <v>1815</v>
      </c>
    </row>
    <row r="50" spans="1:16">
      <c r="A50" t="b">
        <f t="shared" si="0"/>
        <v>1</v>
      </c>
      <c r="B50" s="1">
        <v>168</v>
      </c>
      <c r="C50" t="s">
        <v>348</v>
      </c>
      <c r="D50" t="s">
        <v>407</v>
      </c>
      <c r="E50" s="13">
        <v>9000</v>
      </c>
      <c r="F50" s="15">
        <v>0.09</v>
      </c>
      <c r="G50" s="12">
        <v>43905</v>
      </c>
      <c r="H50" s="14">
        <v>1.1000000000000001</v>
      </c>
      <c r="I50" s="16">
        <f>E50*H50</f>
        <v>9900</v>
      </c>
      <c r="J50" s="14">
        <v>0.09</v>
      </c>
      <c r="K50" t="s">
        <v>6</v>
      </c>
      <c r="L50" t="s">
        <v>1811</v>
      </c>
      <c r="M50" t="s">
        <v>1812</v>
      </c>
      <c r="N50" t="s">
        <v>1813</v>
      </c>
      <c r="O50" t="s">
        <v>1814</v>
      </c>
      <c r="P50" t="s">
        <v>1815</v>
      </c>
    </row>
    <row r="51" spans="1:16">
      <c r="A51" t="b">
        <f t="shared" si="0"/>
        <v>0</v>
      </c>
      <c r="B51" s="1">
        <v>168</v>
      </c>
      <c r="C51" t="s">
        <v>348</v>
      </c>
      <c r="D51" t="s">
        <v>407</v>
      </c>
      <c r="E51" s="13">
        <v>8000</v>
      </c>
      <c r="F51" s="15">
        <v>0.08</v>
      </c>
      <c r="G51" s="12">
        <v>44271</v>
      </c>
      <c r="H51">
        <v>95</v>
      </c>
      <c r="I51" s="13">
        <v>7600</v>
      </c>
      <c r="J51" s="15">
        <v>9.5000000000000001E-2</v>
      </c>
      <c r="K51" t="s">
        <v>6</v>
      </c>
      <c r="L51" t="s">
        <v>1811</v>
      </c>
      <c r="M51" t="s">
        <v>1812</v>
      </c>
      <c r="N51" t="s">
        <v>1813</v>
      </c>
      <c r="O51" t="s">
        <v>1814</v>
      </c>
      <c r="P51" t="s">
        <v>1815</v>
      </c>
    </row>
    <row r="52" spans="1:16">
      <c r="A52" t="b">
        <f t="shared" si="0"/>
        <v>1</v>
      </c>
      <c r="B52" s="1">
        <v>170</v>
      </c>
      <c r="C52" t="s">
        <v>362</v>
      </c>
      <c r="D52" t="s">
        <v>407</v>
      </c>
      <c r="E52" s="13">
        <v>9000</v>
      </c>
      <c r="F52" s="15">
        <v>0.09</v>
      </c>
      <c r="G52" s="12">
        <v>43905</v>
      </c>
      <c r="H52" s="14">
        <v>1.1000000000000001</v>
      </c>
      <c r="I52" s="16">
        <f>E52*H52</f>
        <v>9900</v>
      </c>
      <c r="J52" s="14">
        <v>0.09</v>
      </c>
      <c r="K52" t="s">
        <v>6</v>
      </c>
      <c r="L52" t="s">
        <v>1811</v>
      </c>
      <c r="M52" t="s">
        <v>1812</v>
      </c>
      <c r="N52" t="s">
        <v>1813</v>
      </c>
      <c r="O52" t="s">
        <v>1814</v>
      </c>
      <c r="P52" t="s">
        <v>1815</v>
      </c>
    </row>
    <row r="53" spans="1:16">
      <c r="A53" t="b">
        <f t="shared" si="0"/>
        <v>0</v>
      </c>
      <c r="B53" s="1">
        <v>170</v>
      </c>
      <c r="C53" t="s">
        <v>362</v>
      </c>
      <c r="D53" t="s">
        <v>407</v>
      </c>
      <c r="E53" s="13">
        <v>8000</v>
      </c>
      <c r="F53" s="15">
        <v>0.08</v>
      </c>
      <c r="G53" s="12">
        <v>44271</v>
      </c>
      <c r="H53">
        <v>95</v>
      </c>
      <c r="I53" s="13">
        <v>7600</v>
      </c>
      <c r="J53" s="15">
        <v>9.5000000000000001E-2</v>
      </c>
      <c r="K53" t="s">
        <v>6</v>
      </c>
      <c r="L53" t="s">
        <v>1811</v>
      </c>
      <c r="M53" t="s">
        <v>1812</v>
      </c>
      <c r="N53" t="s">
        <v>1813</v>
      </c>
      <c r="O53" t="s">
        <v>1814</v>
      </c>
      <c r="P53" t="s">
        <v>1815</v>
      </c>
    </row>
    <row r="54" spans="1:16">
      <c r="A54" t="b">
        <f t="shared" si="0"/>
        <v>1</v>
      </c>
      <c r="B54" s="1">
        <v>172</v>
      </c>
      <c r="C54" t="s">
        <v>359</v>
      </c>
      <c r="D54" t="s">
        <v>407</v>
      </c>
      <c r="E54" s="13">
        <v>9000</v>
      </c>
      <c r="F54" s="15">
        <v>0.09</v>
      </c>
      <c r="G54" s="12">
        <v>43905</v>
      </c>
      <c r="H54" s="14">
        <v>1.1000000000000001</v>
      </c>
      <c r="I54" s="16">
        <f>E54*H54</f>
        <v>9900</v>
      </c>
      <c r="J54" s="14">
        <v>0.09</v>
      </c>
      <c r="K54" t="s">
        <v>6</v>
      </c>
      <c r="L54" t="s">
        <v>1811</v>
      </c>
      <c r="M54" t="s">
        <v>1812</v>
      </c>
      <c r="N54" t="s">
        <v>1813</v>
      </c>
      <c r="O54" t="s">
        <v>1814</v>
      </c>
      <c r="P54" t="s">
        <v>1815</v>
      </c>
    </row>
    <row r="55" spans="1:16">
      <c r="A55" t="b">
        <f t="shared" si="0"/>
        <v>0</v>
      </c>
      <c r="B55" s="1">
        <v>172</v>
      </c>
      <c r="C55" t="s">
        <v>359</v>
      </c>
      <c r="D55" t="s">
        <v>407</v>
      </c>
      <c r="E55" s="13">
        <v>8000</v>
      </c>
      <c r="F55" s="15">
        <v>0.08</v>
      </c>
      <c r="G55" s="12">
        <v>44271</v>
      </c>
      <c r="H55">
        <v>95</v>
      </c>
      <c r="I55" s="13">
        <v>7600</v>
      </c>
      <c r="J55" s="15">
        <v>9.5000000000000001E-2</v>
      </c>
      <c r="K55" t="s">
        <v>6</v>
      </c>
      <c r="L55" t="s">
        <v>1811</v>
      </c>
      <c r="M55" t="s">
        <v>1812</v>
      </c>
      <c r="N55" t="s">
        <v>1813</v>
      </c>
      <c r="O55" t="s">
        <v>1814</v>
      </c>
      <c r="P55" t="s">
        <v>1815</v>
      </c>
    </row>
    <row r="56" spans="1:16">
      <c r="A56" t="b">
        <f t="shared" si="0"/>
        <v>1</v>
      </c>
      <c r="B56" s="1">
        <v>174</v>
      </c>
      <c r="C56" t="s">
        <v>360</v>
      </c>
      <c r="D56" t="s">
        <v>407</v>
      </c>
      <c r="E56" s="13">
        <v>9000</v>
      </c>
      <c r="F56" s="15">
        <v>0.09</v>
      </c>
      <c r="G56" s="12">
        <v>43905</v>
      </c>
      <c r="H56" s="14">
        <v>1.1000000000000001</v>
      </c>
      <c r="I56" s="16">
        <f>E56*H56</f>
        <v>9900</v>
      </c>
      <c r="J56" s="14">
        <v>0.09</v>
      </c>
      <c r="K56" t="s">
        <v>6</v>
      </c>
      <c r="L56" t="s">
        <v>1811</v>
      </c>
      <c r="M56" t="s">
        <v>1812</v>
      </c>
      <c r="N56" t="s">
        <v>1813</v>
      </c>
      <c r="O56" t="s">
        <v>1814</v>
      </c>
      <c r="P56" t="s">
        <v>1815</v>
      </c>
    </row>
    <row r="57" spans="1:16">
      <c r="A57" t="b">
        <f t="shared" si="0"/>
        <v>0</v>
      </c>
      <c r="B57" s="1">
        <v>174</v>
      </c>
      <c r="C57" t="s">
        <v>360</v>
      </c>
      <c r="D57" t="s">
        <v>407</v>
      </c>
      <c r="E57" s="13">
        <v>8000</v>
      </c>
      <c r="F57" s="15">
        <v>0.08</v>
      </c>
      <c r="G57" s="12">
        <v>44271</v>
      </c>
      <c r="H57">
        <v>95</v>
      </c>
      <c r="I57" s="13">
        <v>7600</v>
      </c>
      <c r="J57" s="15">
        <v>9.5000000000000001E-2</v>
      </c>
      <c r="K57" t="s">
        <v>6</v>
      </c>
      <c r="L57" t="s">
        <v>1811</v>
      </c>
      <c r="M57" t="s">
        <v>1812</v>
      </c>
      <c r="N57" t="s">
        <v>1813</v>
      </c>
      <c r="O57" t="s">
        <v>1814</v>
      </c>
      <c r="P57" t="s">
        <v>1815</v>
      </c>
    </row>
    <row r="58" spans="1:16">
      <c r="A58" t="b">
        <f t="shared" si="0"/>
        <v>1</v>
      </c>
      <c r="B58" s="1">
        <v>175</v>
      </c>
      <c r="C58" t="s">
        <v>355</v>
      </c>
      <c r="D58" t="s">
        <v>407</v>
      </c>
      <c r="E58" s="13">
        <v>9000</v>
      </c>
      <c r="F58" s="15">
        <v>0.09</v>
      </c>
      <c r="G58" s="12">
        <v>43905</v>
      </c>
      <c r="H58" s="14">
        <v>1.1000000000000001</v>
      </c>
      <c r="I58" s="16">
        <f>E58*H58</f>
        <v>9900</v>
      </c>
      <c r="J58" s="14">
        <v>0.09</v>
      </c>
      <c r="K58" t="s">
        <v>6</v>
      </c>
      <c r="L58" t="s">
        <v>1811</v>
      </c>
      <c r="M58" t="s">
        <v>1812</v>
      </c>
      <c r="N58" t="s">
        <v>1813</v>
      </c>
      <c r="O58" t="s">
        <v>1814</v>
      </c>
      <c r="P58" t="s">
        <v>1815</v>
      </c>
    </row>
    <row r="59" spans="1:16">
      <c r="A59" t="b">
        <f t="shared" si="0"/>
        <v>0</v>
      </c>
      <c r="B59" s="1">
        <v>175</v>
      </c>
      <c r="C59" t="s">
        <v>355</v>
      </c>
      <c r="D59" t="s">
        <v>407</v>
      </c>
      <c r="E59" s="13">
        <v>8000</v>
      </c>
      <c r="F59" s="15">
        <v>0.08</v>
      </c>
      <c r="G59" s="12">
        <v>44271</v>
      </c>
      <c r="H59">
        <v>95</v>
      </c>
      <c r="I59" s="13">
        <v>7600</v>
      </c>
      <c r="J59" s="15">
        <v>9.5000000000000001E-2</v>
      </c>
      <c r="K59" t="s">
        <v>6</v>
      </c>
      <c r="L59" t="s">
        <v>1811</v>
      </c>
      <c r="M59" t="s">
        <v>1812</v>
      </c>
      <c r="N59" t="s">
        <v>1813</v>
      </c>
      <c r="O59" t="s">
        <v>1814</v>
      </c>
      <c r="P59" t="s">
        <v>1815</v>
      </c>
    </row>
    <row r="60" spans="1:16">
      <c r="A60" t="b">
        <f t="shared" si="0"/>
        <v>1</v>
      </c>
      <c r="B60" s="1">
        <v>176</v>
      </c>
      <c r="C60" t="s">
        <v>358</v>
      </c>
      <c r="D60" t="s">
        <v>407</v>
      </c>
      <c r="E60" s="13">
        <v>9000</v>
      </c>
      <c r="F60" s="15">
        <v>0.09</v>
      </c>
      <c r="G60" s="12">
        <v>43905</v>
      </c>
      <c r="H60" s="14">
        <v>1.1000000000000001</v>
      </c>
      <c r="I60" s="16">
        <f>E60*H60</f>
        <v>9900</v>
      </c>
      <c r="J60" s="14">
        <v>0.09</v>
      </c>
      <c r="K60" t="s">
        <v>6</v>
      </c>
      <c r="L60" t="s">
        <v>1811</v>
      </c>
      <c r="M60" t="s">
        <v>1812</v>
      </c>
      <c r="N60" t="s">
        <v>1813</v>
      </c>
      <c r="O60" t="s">
        <v>1814</v>
      </c>
      <c r="P60" t="s">
        <v>1815</v>
      </c>
    </row>
    <row r="61" spans="1:16">
      <c r="A61" t="b">
        <f t="shared" si="0"/>
        <v>0</v>
      </c>
      <c r="B61" s="1">
        <v>176</v>
      </c>
      <c r="C61" t="s">
        <v>358</v>
      </c>
      <c r="D61" t="s">
        <v>407</v>
      </c>
      <c r="E61" s="13">
        <v>8000</v>
      </c>
      <c r="F61" s="15">
        <v>0.08</v>
      </c>
      <c r="G61" s="12">
        <v>44271</v>
      </c>
      <c r="H61">
        <v>95</v>
      </c>
      <c r="I61" s="13">
        <v>7600</v>
      </c>
      <c r="J61" s="15">
        <v>9.5000000000000001E-2</v>
      </c>
      <c r="K61" t="s">
        <v>6</v>
      </c>
      <c r="L61" t="s">
        <v>1811</v>
      </c>
      <c r="M61" t="s">
        <v>1812</v>
      </c>
      <c r="N61" t="s">
        <v>1813</v>
      </c>
      <c r="O61" t="s">
        <v>1814</v>
      </c>
      <c r="P61" t="s">
        <v>1815</v>
      </c>
    </row>
    <row r="62" spans="1:16">
      <c r="A62" t="b">
        <f t="shared" si="0"/>
        <v>1</v>
      </c>
      <c r="B62" s="1">
        <v>177</v>
      </c>
      <c r="C62" t="s">
        <v>363</v>
      </c>
      <c r="D62" t="s">
        <v>407</v>
      </c>
      <c r="E62" s="13">
        <v>9000</v>
      </c>
      <c r="F62" s="15">
        <v>0.09</v>
      </c>
      <c r="G62" s="12">
        <v>43905</v>
      </c>
      <c r="H62" s="14">
        <v>1.1000000000000001</v>
      </c>
      <c r="I62" s="16">
        <f>E62*H62</f>
        <v>9900</v>
      </c>
      <c r="J62" s="14">
        <v>0.09</v>
      </c>
      <c r="K62" t="s">
        <v>6</v>
      </c>
      <c r="L62" t="s">
        <v>1811</v>
      </c>
      <c r="M62" t="s">
        <v>1812</v>
      </c>
      <c r="N62" t="s">
        <v>1813</v>
      </c>
      <c r="O62" t="s">
        <v>1814</v>
      </c>
      <c r="P62" t="s">
        <v>1815</v>
      </c>
    </row>
    <row r="63" spans="1:16">
      <c r="A63" t="b">
        <f t="shared" si="0"/>
        <v>0</v>
      </c>
      <c r="B63" s="1">
        <v>177</v>
      </c>
      <c r="C63" t="s">
        <v>363</v>
      </c>
      <c r="D63" t="s">
        <v>407</v>
      </c>
      <c r="E63" s="13">
        <v>8000</v>
      </c>
      <c r="F63" s="15">
        <v>0.08</v>
      </c>
      <c r="G63" s="12">
        <v>44271</v>
      </c>
      <c r="H63">
        <v>95</v>
      </c>
      <c r="I63" s="13">
        <v>7600</v>
      </c>
      <c r="J63" s="15">
        <v>9.5000000000000001E-2</v>
      </c>
      <c r="K63" t="s">
        <v>6</v>
      </c>
      <c r="L63" t="s">
        <v>1811</v>
      </c>
      <c r="M63" t="s">
        <v>1812</v>
      </c>
      <c r="N63" t="s">
        <v>1813</v>
      </c>
      <c r="O63" t="s">
        <v>1814</v>
      </c>
      <c r="P63" t="s">
        <v>1815</v>
      </c>
    </row>
    <row r="64" spans="1:16">
      <c r="A64" t="b">
        <f t="shared" si="0"/>
        <v>1</v>
      </c>
      <c r="B64" s="1">
        <v>1010</v>
      </c>
      <c r="C64" t="s">
        <v>354</v>
      </c>
      <c r="D64" t="s">
        <v>407</v>
      </c>
      <c r="E64" s="13">
        <v>9000</v>
      </c>
      <c r="F64" s="15">
        <v>0.09</v>
      </c>
      <c r="G64" s="12">
        <v>43905</v>
      </c>
      <c r="H64" s="14">
        <v>1.1000000000000001</v>
      </c>
      <c r="I64" s="16">
        <f>E64*H64</f>
        <v>9900</v>
      </c>
      <c r="J64" s="14">
        <v>0.09</v>
      </c>
      <c r="K64" t="s">
        <v>6</v>
      </c>
      <c r="L64" t="s">
        <v>1811</v>
      </c>
      <c r="M64" t="s">
        <v>1812</v>
      </c>
      <c r="N64" t="s">
        <v>1813</v>
      </c>
      <c r="O64" t="s">
        <v>1814</v>
      </c>
      <c r="P64" t="s">
        <v>1815</v>
      </c>
    </row>
    <row r="65" spans="1:16">
      <c r="A65" t="b">
        <f t="shared" si="0"/>
        <v>0</v>
      </c>
      <c r="B65" s="1">
        <v>1010</v>
      </c>
      <c r="C65" t="s">
        <v>354</v>
      </c>
      <c r="D65" t="s">
        <v>407</v>
      </c>
      <c r="E65" s="13">
        <v>8000</v>
      </c>
      <c r="F65" s="15">
        <v>0.08</v>
      </c>
      <c r="G65" s="12">
        <v>44271</v>
      </c>
      <c r="H65">
        <v>95</v>
      </c>
      <c r="I65" s="13">
        <v>7600</v>
      </c>
      <c r="J65" s="15">
        <v>9.5000000000000001E-2</v>
      </c>
      <c r="K65" t="s">
        <v>6</v>
      </c>
      <c r="L65" t="s">
        <v>1811</v>
      </c>
      <c r="M65" t="s">
        <v>1812</v>
      </c>
      <c r="N65" t="s">
        <v>1813</v>
      </c>
      <c r="O65" t="s">
        <v>1814</v>
      </c>
      <c r="P65" t="s">
        <v>1815</v>
      </c>
    </row>
    <row r="66" spans="1:16">
      <c r="A66" t="b">
        <f t="shared" si="0"/>
        <v>1</v>
      </c>
      <c r="B66" s="1">
        <v>1012</v>
      </c>
      <c r="C66" t="s">
        <v>369</v>
      </c>
      <c r="D66" t="s">
        <v>407</v>
      </c>
      <c r="E66" s="13">
        <v>9000</v>
      </c>
      <c r="F66" s="15">
        <v>0.09</v>
      </c>
      <c r="G66" s="12">
        <v>43905</v>
      </c>
      <c r="H66" s="14">
        <v>1.1000000000000001</v>
      </c>
      <c r="I66" s="16">
        <f>E66*H66</f>
        <v>9900</v>
      </c>
      <c r="J66" s="14">
        <v>0.09</v>
      </c>
      <c r="K66" t="s">
        <v>6</v>
      </c>
      <c r="L66" t="s">
        <v>1811</v>
      </c>
      <c r="M66" t="s">
        <v>1812</v>
      </c>
      <c r="N66" t="s">
        <v>1813</v>
      </c>
      <c r="O66" t="s">
        <v>1814</v>
      </c>
      <c r="P66" t="s">
        <v>1815</v>
      </c>
    </row>
    <row r="67" spans="1:16">
      <c r="A67" t="b">
        <f t="shared" si="0"/>
        <v>0</v>
      </c>
      <c r="B67" s="1">
        <v>1012</v>
      </c>
      <c r="C67" t="s">
        <v>369</v>
      </c>
      <c r="D67" t="s">
        <v>407</v>
      </c>
      <c r="E67" s="13">
        <v>8000</v>
      </c>
      <c r="F67" s="15">
        <v>0.08</v>
      </c>
      <c r="G67" s="12">
        <v>44271</v>
      </c>
      <c r="H67">
        <v>95</v>
      </c>
      <c r="I67" s="13">
        <v>7600</v>
      </c>
      <c r="J67" s="15">
        <v>9.5000000000000001E-2</v>
      </c>
      <c r="K67" t="s">
        <v>6</v>
      </c>
      <c r="L67" t="s">
        <v>1811</v>
      </c>
      <c r="M67" t="s">
        <v>1812</v>
      </c>
      <c r="N67" t="s">
        <v>1813</v>
      </c>
      <c r="O67" t="s">
        <v>1814</v>
      </c>
      <c r="P67" t="s">
        <v>1815</v>
      </c>
    </row>
    <row r="68" spans="1:16">
      <c r="A68" t="b">
        <f t="shared" si="0"/>
        <v>1</v>
      </c>
      <c r="B68" s="1">
        <v>1028</v>
      </c>
      <c r="C68" t="s">
        <v>351</v>
      </c>
      <c r="D68" t="s">
        <v>407</v>
      </c>
      <c r="E68" s="13">
        <v>9000</v>
      </c>
      <c r="F68" s="15">
        <v>0.09</v>
      </c>
      <c r="G68" s="12">
        <v>43905</v>
      </c>
      <c r="H68" s="14">
        <v>1.1000000000000001</v>
      </c>
      <c r="I68" s="16">
        <f>E68*H68</f>
        <v>9900</v>
      </c>
      <c r="J68" s="14">
        <v>0.09</v>
      </c>
      <c r="K68" t="s">
        <v>6</v>
      </c>
      <c r="L68" t="s">
        <v>1811</v>
      </c>
      <c r="M68" t="s">
        <v>1812</v>
      </c>
      <c r="N68" t="s">
        <v>1813</v>
      </c>
      <c r="O68" t="s">
        <v>1814</v>
      </c>
      <c r="P68" t="s">
        <v>1815</v>
      </c>
    </row>
    <row r="69" spans="1:16">
      <c r="A69" t="b">
        <f t="shared" ref="A69:A132" si="1">ISEVEN(ROW())</f>
        <v>0</v>
      </c>
      <c r="B69" s="1">
        <v>1028</v>
      </c>
      <c r="C69" t="s">
        <v>351</v>
      </c>
      <c r="D69" t="s">
        <v>407</v>
      </c>
      <c r="E69" s="13">
        <v>8000</v>
      </c>
      <c r="F69" s="15">
        <v>0.08</v>
      </c>
      <c r="G69" s="12">
        <v>44271</v>
      </c>
      <c r="H69">
        <v>95</v>
      </c>
      <c r="I69" s="13">
        <v>7600</v>
      </c>
      <c r="J69" s="15">
        <v>9.5000000000000001E-2</v>
      </c>
      <c r="K69" t="s">
        <v>6</v>
      </c>
      <c r="L69" t="s">
        <v>1811</v>
      </c>
      <c r="M69" t="s">
        <v>1812</v>
      </c>
      <c r="N69" t="s">
        <v>1813</v>
      </c>
      <c r="O69" t="s">
        <v>1814</v>
      </c>
      <c r="P69" t="s">
        <v>1815</v>
      </c>
    </row>
    <row r="70" spans="1:16">
      <c r="A70" t="b">
        <f t="shared" si="1"/>
        <v>1</v>
      </c>
      <c r="B70" s="1">
        <v>1043</v>
      </c>
      <c r="C70" t="s">
        <v>372</v>
      </c>
      <c r="D70" t="s">
        <v>407</v>
      </c>
      <c r="E70" s="13">
        <v>9000</v>
      </c>
      <c r="F70" s="15">
        <v>0.09</v>
      </c>
      <c r="G70" s="12">
        <v>43905</v>
      </c>
      <c r="H70" s="14">
        <v>1.1000000000000001</v>
      </c>
      <c r="I70" s="16">
        <f>E70*H70</f>
        <v>9900</v>
      </c>
      <c r="J70" s="14">
        <v>0.09</v>
      </c>
      <c r="K70" t="s">
        <v>6</v>
      </c>
      <c r="L70" t="s">
        <v>1811</v>
      </c>
      <c r="M70" t="s">
        <v>1812</v>
      </c>
      <c r="N70" t="s">
        <v>1813</v>
      </c>
      <c r="O70" t="s">
        <v>1814</v>
      </c>
      <c r="P70" t="s">
        <v>1815</v>
      </c>
    </row>
    <row r="71" spans="1:16">
      <c r="A71" t="b">
        <f t="shared" si="1"/>
        <v>0</v>
      </c>
      <c r="B71" s="1">
        <v>1043</v>
      </c>
      <c r="C71" t="s">
        <v>372</v>
      </c>
      <c r="D71" t="s">
        <v>407</v>
      </c>
      <c r="E71" s="13">
        <v>8000</v>
      </c>
      <c r="F71" s="15">
        <v>0.08</v>
      </c>
      <c r="G71" s="12">
        <v>44271</v>
      </c>
      <c r="H71">
        <v>95</v>
      </c>
      <c r="I71" s="13">
        <v>7600</v>
      </c>
      <c r="J71" s="15">
        <v>9.5000000000000001E-2</v>
      </c>
      <c r="K71" t="s">
        <v>6</v>
      </c>
      <c r="L71" t="s">
        <v>1811</v>
      </c>
      <c r="M71" t="s">
        <v>1812</v>
      </c>
      <c r="N71" t="s">
        <v>1813</v>
      </c>
      <c r="O71" t="s">
        <v>1814</v>
      </c>
      <c r="P71" t="s">
        <v>1815</v>
      </c>
    </row>
    <row r="72" spans="1:16">
      <c r="A72" t="b">
        <f t="shared" si="1"/>
        <v>1</v>
      </c>
      <c r="B72" s="1">
        <v>1113</v>
      </c>
      <c r="C72" t="s">
        <v>350</v>
      </c>
      <c r="D72" t="s">
        <v>407</v>
      </c>
      <c r="E72" s="13">
        <v>9000</v>
      </c>
      <c r="F72" s="15">
        <v>0.09</v>
      </c>
      <c r="G72" s="12">
        <v>43905</v>
      </c>
      <c r="H72" s="14">
        <v>1.1000000000000001</v>
      </c>
      <c r="I72" s="16">
        <f>E72*H72</f>
        <v>9900</v>
      </c>
      <c r="J72" s="14">
        <v>0.09</v>
      </c>
      <c r="K72" t="s">
        <v>6</v>
      </c>
      <c r="L72" t="s">
        <v>1811</v>
      </c>
      <c r="M72" t="s">
        <v>1812</v>
      </c>
      <c r="N72" t="s">
        <v>1813</v>
      </c>
      <c r="O72" t="s">
        <v>1814</v>
      </c>
      <c r="P72" t="s">
        <v>1815</v>
      </c>
    </row>
    <row r="73" spans="1:16">
      <c r="A73" t="b">
        <f t="shared" si="1"/>
        <v>0</v>
      </c>
      <c r="B73" s="1">
        <v>1113</v>
      </c>
      <c r="C73" t="s">
        <v>350</v>
      </c>
      <c r="D73" t="s">
        <v>407</v>
      </c>
      <c r="E73" s="13">
        <v>8000</v>
      </c>
      <c r="F73" s="15">
        <v>0.08</v>
      </c>
      <c r="G73" s="12">
        <v>44271</v>
      </c>
      <c r="H73">
        <v>95</v>
      </c>
      <c r="I73" s="13">
        <v>7600</v>
      </c>
      <c r="J73" s="15">
        <v>9.5000000000000001E-2</v>
      </c>
      <c r="K73" t="s">
        <v>6</v>
      </c>
      <c r="L73" t="s">
        <v>1811</v>
      </c>
      <c r="M73" t="s">
        <v>1812</v>
      </c>
      <c r="N73" t="s">
        <v>1813</v>
      </c>
      <c r="O73" t="s">
        <v>1814</v>
      </c>
      <c r="P73" t="s">
        <v>1815</v>
      </c>
    </row>
    <row r="74" spans="1:16">
      <c r="A74" t="b">
        <f t="shared" si="1"/>
        <v>1</v>
      </c>
      <c r="B74" s="1">
        <v>1114</v>
      </c>
      <c r="C74" t="s">
        <v>374</v>
      </c>
      <c r="D74" t="s">
        <v>407</v>
      </c>
      <c r="E74" s="13">
        <v>9000</v>
      </c>
      <c r="F74" s="15">
        <v>0.09</v>
      </c>
      <c r="G74" s="12">
        <v>43905</v>
      </c>
      <c r="H74" s="14">
        <v>1.1000000000000001</v>
      </c>
      <c r="I74" s="16">
        <f>E74*H74</f>
        <v>9900</v>
      </c>
      <c r="J74" s="14">
        <v>0.09</v>
      </c>
      <c r="K74" t="s">
        <v>6</v>
      </c>
      <c r="L74" t="s">
        <v>1811</v>
      </c>
      <c r="M74" t="s">
        <v>1812</v>
      </c>
      <c r="N74" t="s">
        <v>1813</v>
      </c>
      <c r="O74" t="s">
        <v>1814</v>
      </c>
      <c r="P74" t="s">
        <v>1815</v>
      </c>
    </row>
    <row r="75" spans="1:16">
      <c r="A75" t="b">
        <f t="shared" si="1"/>
        <v>0</v>
      </c>
      <c r="B75" s="1">
        <v>1114</v>
      </c>
      <c r="C75" t="s">
        <v>374</v>
      </c>
      <c r="D75" t="s">
        <v>407</v>
      </c>
      <c r="E75" s="13">
        <v>8000</v>
      </c>
      <c r="F75" s="15">
        <v>0.08</v>
      </c>
      <c r="G75" s="12">
        <v>44271</v>
      </c>
      <c r="H75">
        <v>95</v>
      </c>
      <c r="I75" s="13">
        <v>7600</v>
      </c>
      <c r="J75" s="15">
        <v>9.5000000000000001E-2</v>
      </c>
      <c r="K75" t="s">
        <v>6</v>
      </c>
      <c r="L75" t="s">
        <v>1811</v>
      </c>
      <c r="M75" t="s">
        <v>1812</v>
      </c>
      <c r="N75" t="s">
        <v>1813</v>
      </c>
      <c r="O75" t="s">
        <v>1814</v>
      </c>
      <c r="P75" t="s">
        <v>1815</v>
      </c>
    </row>
    <row r="76" spans="1:16">
      <c r="A76" t="b">
        <f t="shared" si="1"/>
        <v>1</v>
      </c>
      <c r="B76" s="1">
        <v>1115</v>
      </c>
      <c r="C76" t="s">
        <v>331</v>
      </c>
      <c r="D76" t="s">
        <v>407</v>
      </c>
      <c r="E76" s="13">
        <v>9000</v>
      </c>
      <c r="F76" s="15">
        <v>0.09</v>
      </c>
      <c r="G76" s="12">
        <v>43905</v>
      </c>
      <c r="H76" s="14">
        <v>1.1000000000000001</v>
      </c>
      <c r="I76" s="16">
        <f>E76*H76</f>
        <v>9900</v>
      </c>
      <c r="J76" s="14">
        <v>0.09</v>
      </c>
      <c r="K76" t="s">
        <v>6</v>
      </c>
      <c r="L76" t="s">
        <v>1811</v>
      </c>
      <c r="M76" t="s">
        <v>1812</v>
      </c>
      <c r="N76" t="s">
        <v>1813</v>
      </c>
      <c r="O76" t="s">
        <v>1814</v>
      </c>
      <c r="P76" t="s">
        <v>1815</v>
      </c>
    </row>
    <row r="77" spans="1:16">
      <c r="A77" t="b">
        <f t="shared" si="1"/>
        <v>0</v>
      </c>
      <c r="B77" s="1">
        <v>1115</v>
      </c>
      <c r="C77" t="s">
        <v>331</v>
      </c>
      <c r="D77" t="s">
        <v>407</v>
      </c>
      <c r="E77" s="13">
        <v>8000</v>
      </c>
      <c r="F77" s="15">
        <v>0.08</v>
      </c>
      <c r="G77" s="12">
        <v>44271</v>
      </c>
      <c r="H77">
        <v>95</v>
      </c>
      <c r="I77" s="13">
        <v>7600</v>
      </c>
      <c r="J77" s="15">
        <v>9.5000000000000001E-2</v>
      </c>
      <c r="K77" t="s">
        <v>6</v>
      </c>
      <c r="L77" t="s">
        <v>1811</v>
      </c>
      <c r="M77" t="s">
        <v>1812</v>
      </c>
      <c r="N77" t="s">
        <v>1813</v>
      </c>
      <c r="O77" t="s">
        <v>1814</v>
      </c>
      <c r="P77" t="s">
        <v>1815</v>
      </c>
    </row>
    <row r="78" spans="1:16">
      <c r="A78" t="b">
        <f t="shared" si="1"/>
        <v>1</v>
      </c>
      <c r="B78" s="1">
        <v>1117</v>
      </c>
      <c r="C78" t="s">
        <v>329</v>
      </c>
      <c r="D78" t="s">
        <v>407</v>
      </c>
      <c r="E78" s="13">
        <v>9000</v>
      </c>
      <c r="F78" s="15">
        <v>0.09</v>
      </c>
      <c r="G78" s="12">
        <v>43905</v>
      </c>
      <c r="H78" s="14">
        <v>1.1000000000000001</v>
      </c>
      <c r="I78" s="16">
        <f>E78*H78</f>
        <v>9900</v>
      </c>
      <c r="J78" s="14">
        <v>0.09</v>
      </c>
      <c r="K78" t="s">
        <v>6</v>
      </c>
      <c r="L78" t="s">
        <v>1811</v>
      </c>
      <c r="M78" t="s">
        <v>1812</v>
      </c>
      <c r="N78" t="s">
        <v>1813</v>
      </c>
      <c r="O78" t="s">
        <v>1814</v>
      </c>
      <c r="P78" t="s">
        <v>1815</v>
      </c>
    </row>
    <row r="79" spans="1:16">
      <c r="A79" t="b">
        <f t="shared" si="1"/>
        <v>0</v>
      </c>
      <c r="B79" s="1">
        <v>1117</v>
      </c>
      <c r="C79" t="s">
        <v>329</v>
      </c>
      <c r="D79" t="s">
        <v>407</v>
      </c>
      <c r="E79" s="13">
        <v>8000</v>
      </c>
      <c r="F79" s="15">
        <v>0.08</v>
      </c>
      <c r="G79" s="12">
        <v>44271</v>
      </c>
      <c r="H79">
        <v>95</v>
      </c>
      <c r="I79" s="13">
        <v>7600</v>
      </c>
      <c r="J79" s="15">
        <v>9.5000000000000001E-2</v>
      </c>
      <c r="K79" t="s">
        <v>6</v>
      </c>
      <c r="L79" t="s">
        <v>1811</v>
      </c>
      <c r="M79" t="s">
        <v>1812</v>
      </c>
      <c r="N79" t="s">
        <v>1813</v>
      </c>
      <c r="O79" t="s">
        <v>1814</v>
      </c>
      <c r="P79" t="s">
        <v>1815</v>
      </c>
    </row>
    <row r="80" spans="1:16">
      <c r="A80" t="b">
        <f t="shared" si="1"/>
        <v>1</v>
      </c>
      <c r="B80" s="1">
        <v>1118</v>
      </c>
      <c r="C80" t="s">
        <v>338</v>
      </c>
      <c r="D80" t="s">
        <v>407</v>
      </c>
      <c r="E80" s="13">
        <v>9000</v>
      </c>
      <c r="F80" s="15">
        <v>0.09</v>
      </c>
      <c r="G80" s="12">
        <v>43905</v>
      </c>
      <c r="H80" s="14">
        <v>1.1000000000000001</v>
      </c>
      <c r="I80" s="16">
        <f>E80*H80</f>
        <v>9900</v>
      </c>
      <c r="J80" s="14">
        <v>0.09</v>
      </c>
      <c r="K80" t="s">
        <v>6</v>
      </c>
      <c r="L80" t="s">
        <v>1811</v>
      </c>
      <c r="M80" t="s">
        <v>1812</v>
      </c>
      <c r="N80" t="s">
        <v>1813</v>
      </c>
      <c r="O80" t="s">
        <v>1814</v>
      </c>
      <c r="P80" t="s">
        <v>1815</v>
      </c>
    </row>
    <row r="81" spans="1:16">
      <c r="A81" t="b">
        <f t="shared" si="1"/>
        <v>0</v>
      </c>
      <c r="B81" s="1">
        <v>1118</v>
      </c>
      <c r="C81" t="s">
        <v>338</v>
      </c>
      <c r="D81" t="s">
        <v>407</v>
      </c>
      <c r="E81" s="13">
        <v>8000</v>
      </c>
      <c r="F81" s="15">
        <v>0.08</v>
      </c>
      <c r="G81" s="12">
        <v>44271</v>
      </c>
      <c r="H81">
        <v>95</v>
      </c>
      <c r="I81" s="13">
        <v>7600</v>
      </c>
      <c r="J81" s="15">
        <v>9.5000000000000001E-2</v>
      </c>
      <c r="K81" t="s">
        <v>6</v>
      </c>
      <c r="L81" t="s">
        <v>1811</v>
      </c>
      <c r="M81" t="s">
        <v>1812</v>
      </c>
      <c r="N81" t="s">
        <v>1813</v>
      </c>
      <c r="O81" t="s">
        <v>1814</v>
      </c>
      <c r="P81" t="s">
        <v>1815</v>
      </c>
    </row>
    <row r="82" spans="1:16">
      <c r="A82" t="b">
        <f t="shared" si="1"/>
        <v>1</v>
      </c>
      <c r="B82" s="1">
        <v>1119</v>
      </c>
      <c r="C82" t="s">
        <v>337</v>
      </c>
      <c r="D82" t="s">
        <v>407</v>
      </c>
      <c r="E82" s="13">
        <v>9000</v>
      </c>
      <c r="F82" s="15">
        <v>0.09</v>
      </c>
      <c r="G82" s="12">
        <v>43905</v>
      </c>
      <c r="H82" s="14">
        <v>1.1000000000000001</v>
      </c>
      <c r="I82" s="16">
        <f>E82*H82</f>
        <v>9900</v>
      </c>
      <c r="J82" s="14">
        <v>0.09</v>
      </c>
      <c r="K82" t="s">
        <v>6</v>
      </c>
      <c r="L82" t="s">
        <v>1811</v>
      </c>
      <c r="M82" t="s">
        <v>1812</v>
      </c>
      <c r="N82" t="s">
        <v>1813</v>
      </c>
      <c r="O82" t="s">
        <v>1814</v>
      </c>
      <c r="P82" t="s">
        <v>1815</v>
      </c>
    </row>
    <row r="83" spans="1:16">
      <c r="A83" t="b">
        <f t="shared" si="1"/>
        <v>0</v>
      </c>
      <c r="B83" s="1">
        <v>1119</v>
      </c>
      <c r="C83" t="s">
        <v>337</v>
      </c>
      <c r="D83" t="s">
        <v>407</v>
      </c>
      <c r="E83" s="13">
        <v>8000</v>
      </c>
      <c r="F83" s="15">
        <v>0.08</v>
      </c>
      <c r="G83" s="12">
        <v>44271</v>
      </c>
      <c r="H83">
        <v>95</v>
      </c>
      <c r="I83" s="13">
        <v>7600</v>
      </c>
      <c r="J83" s="15">
        <v>9.5000000000000001E-2</v>
      </c>
      <c r="K83" t="s">
        <v>6</v>
      </c>
      <c r="L83" t="s">
        <v>1811</v>
      </c>
      <c r="M83" t="s">
        <v>1812</v>
      </c>
      <c r="N83" t="s">
        <v>1813</v>
      </c>
      <c r="O83" t="s">
        <v>1814</v>
      </c>
      <c r="P83" t="s">
        <v>1815</v>
      </c>
    </row>
    <row r="84" spans="1:16">
      <c r="A84" t="b">
        <f t="shared" si="1"/>
        <v>1</v>
      </c>
      <c r="B84" s="1">
        <v>1121</v>
      </c>
      <c r="C84" t="s">
        <v>327</v>
      </c>
      <c r="D84" t="s">
        <v>407</v>
      </c>
      <c r="E84" s="13">
        <v>9000</v>
      </c>
      <c r="F84" s="15">
        <v>0.09</v>
      </c>
      <c r="G84" s="12">
        <v>43905</v>
      </c>
      <c r="H84" s="14">
        <v>1.1000000000000001</v>
      </c>
      <c r="I84" s="16">
        <f>E84*H84</f>
        <v>9900</v>
      </c>
      <c r="J84" s="14">
        <v>0.09</v>
      </c>
      <c r="K84" t="s">
        <v>6</v>
      </c>
      <c r="L84" t="s">
        <v>1811</v>
      </c>
      <c r="M84" t="s">
        <v>1812</v>
      </c>
      <c r="N84" t="s">
        <v>1813</v>
      </c>
      <c r="O84" t="s">
        <v>1814</v>
      </c>
      <c r="P84" t="s">
        <v>1815</v>
      </c>
    </row>
    <row r="85" spans="1:16">
      <c r="A85" t="b">
        <f t="shared" si="1"/>
        <v>0</v>
      </c>
      <c r="B85" s="1">
        <v>1121</v>
      </c>
      <c r="C85" t="s">
        <v>327</v>
      </c>
      <c r="D85" t="s">
        <v>407</v>
      </c>
      <c r="E85" s="13">
        <v>8000</v>
      </c>
      <c r="F85" s="15">
        <v>0.08</v>
      </c>
      <c r="G85" s="12">
        <v>44271</v>
      </c>
      <c r="H85">
        <v>95</v>
      </c>
      <c r="I85" s="13">
        <v>7600</v>
      </c>
      <c r="J85" s="15">
        <v>9.5000000000000001E-2</v>
      </c>
      <c r="K85" t="s">
        <v>6</v>
      </c>
      <c r="L85" t="s">
        <v>1811</v>
      </c>
      <c r="M85" t="s">
        <v>1812</v>
      </c>
      <c r="N85" t="s">
        <v>1813</v>
      </c>
      <c r="O85" t="s">
        <v>1814</v>
      </c>
      <c r="P85" t="s">
        <v>1815</v>
      </c>
    </row>
    <row r="86" spans="1:16">
      <c r="A86" t="b">
        <f t="shared" si="1"/>
        <v>1</v>
      </c>
      <c r="B86" s="1">
        <v>1123</v>
      </c>
      <c r="C86" t="s">
        <v>334</v>
      </c>
      <c r="D86" t="s">
        <v>407</v>
      </c>
      <c r="E86" s="13">
        <v>9000</v>
      </c>
      <c r="F86" s="15">
        <v>0.09</v>
      </c>
      <c r="G86" s="12">
        <v>43905</v>
      </c>
      <c r="H86" s="14">
        <v>1.1000000000000001</v>
      </c>
      <c r="I86" s="16">
        <f>E86*H86</f>
        <v>9900</v>
      </c>
      <c r="J86" s="14">
        <v>0.09</v>
      </c>
      <c r="K86" t="s">
        <v>6</v>
      </c>
      <c r="L86" t="s">
        <v>1811</v>
      </c>
      <c r="M86" t="s">
        <v>1812</v>
      </c>
      <c r="N86" t="s">
        <v>1813</v>
      </c>
      <c r="O86" t="s">
        <v>1814</v>
      </c>
      <c r="P86" t="s">
        <v>1815</v>
      </c>
    </row>
    <row r="87" spans="1:16">
      <c r="A87" t="b">
        <f t="shared" si="1"/>
        <v>0</v>
      </c>
      <c r="B87" s="1">
        <v>1123</v>
      </c>
      <c r="C87" t="s">
        <v>334</v>
      </c>
      <c r="D87" t="s">
        <v>407</v>
      </c>
      <c r="E87" s="13">
        <v>8000</v>
      </c>
      <c r="F87" s="15">
        <v>0.08</v>
      </c>
      <c r="G87" s="12">
        <v>44271</v>
      </c>
      <c r="H87">
        <v>95</v>
      </c>
      <c r="I87" s="13">
        <v>7600</v>
      </c>
      <c r="J87" s="15">
        <v>9.5000000000000001E-2</v>
      </c>
      <c r="K87" t="s">
        <v>6</v>
      </c>
      <c r="L87" t="s">
        <v>1811</v>
      </c>
      <c r="M87" t="s">
        <v>1812</v>
      </c>
      <c r="N87" t="s">
        <v>1813</v>
      </c>
      <c r="O87" t="s">
        <v>1814</v>
      </c>
      <c r="P87" t="s">
        <v>1815</v>
      </c>
    </row>
    <row r="88" spans="1:16">
      <c r="A88" t="b">
        <f t="shared" si="1"/>
        <v>1</v>
      </c>
      <c r="B88" s="1">
        <v>1125</v>
      </c>
      <c r="C88" t="s">
        <v>345</v>
      </c>
      <c r="D88" t="s">
        <v>407</v>
      </c>
      <c r="E88" s="13">
        <v>9000</v>
      </c>
      <c r="F88" s="15">
        <v>0.09</v>
      </c>
      <c r="G88" s="12">
        <v>43905</v>
      </c>
      <c r="H88" s="14">
        <v>1.1000000000000001</v>
      </c>
      <c r="I88" s="16">
        <f>E88*H88</f>
        <v>9900</v>
      </c>
      <c r="J88" s="14">
        <v>0.09</v>
      </c>
      <c r="K88" t="s">
        <v>6</v>
      </c>
      <c r="L88" t="s">
        <v>1811</v>
      </c>
      <c r="M88" t="s">
        <v>1812</v>
      </c>
      <c r="N88" t="s">
        <v>1813</v>
      </c>
      <c r="O88" t="s">
        <v>1814</v>
      </c>
      <c r="P88" t="s">
        <v>1815</v>
      </c>
    </row>
    <row r="89" spans="1:16">
      <c r="A89" t="b">
        <f t="shared" si="1"/>
        <v>0</v>
      </c>
      <c r="B89" s="1">
        <v>1125</v>
      </c>
      <c r="C89" t="s">
        <v>345</v>
      </c>
      <c r="D89" t="s">
        <v>407</v>
      </c>
      <c r="E89" s="13">
        <v>8000</v>
      </c>
      <c r="F89" s="15">
        <v>0.08</v>
      </c>
      <c r="G89" s="12">
        <v>44271</v>
      </c>
      <c r="H89">
        <v>95</v>
      </c>
      <c r="I89" s="13">
        <v>7600</v>
      </c>
      <c r="J89" s="15">
        <v>9.5000000000000001E-2</v>
      </c>
      <c r="K89" t="s">
        <v>6</v>
      </c>
      <c r="L89" t="s">
        <v>1811</v>
      </c>
      <c r="M89" t="s">
        <v>1812</v>
      </c>
      <c r="N89" t="s">
        <v>1813</v>
      </c>
      <c r="O89" t="s">
        <v>1814</v>
      </c>
      <c r="P89" t="s">
        <v>1815</v>
      </c>
    </row>
    <row r="90" spans="1:16">
      <c r="A90" t="b">
        <f t="shared" si="1"/>
        <v>1</v>
      </c>
      <c r="B90" s="1">
        <v>1126</v>
      </c>
      <c r="C90" t="s">
        <v>344</v>
      </c>
      <c r="D90" t="s">
        <v>407</v>
      </c>
      <c r="E90" s="13">
        <v>9000</v>
      </c>
      <c r="F90" s="15">
        <v>0.09</v>
      </c>
      <c r="G90" s="12">
        <v>43905</v>
      </c>
      <c r="H90" s="14">
        <v>1.1000000000000001</v>
      </c>
      <c r="I90" s="16">
        <f>E90*H90</f>
        <v>9900</v>
      </c>
      <c r="J90" s="14">
        <v>0.09</v>
      </c>
      <c r="K90" t="s">
        <v>6</v>
      </c>
      <c r="L90" t="s">
        <v>1811</v>
      </c>
      <c r="M90" t="s">
        <v>1812</v>
      </c>
      <c r="N90" t="s">
        <v>1813</v>
      </c>
      <c r="O90" t="s">
        <v>1814</v>
      </c>
      <c r="P90" t="s">
        <v>1815</v>
      </c>
    </row>
    <row r="91" spans="1:16">
      <c r="A91" t="b">
        <f t="shared" si="1"/>
        <v>0</v>
      </c>
      <c r="B91" s="1">
        <v>1126</v>
      </c>
      <c r="C91" t="s">
        <v>344</v>
      </c>
      <c r="D91" t="s">
        <v>407</v>
      </c>
      <c r="E91" s="13">
        <v>8000</v>
      </c>
      <c r="F91" s="15">
        <v>0.08</v>
      </c>
      <c r="G91" s="12">
        <v>44271</v>
      </c>
      <c r="H91">
        <v>95</v>
      </c>
      <c r="I91" s="13">
        <v>7600</v>
      </c>
      <c r="J91" s="15">
        <v>9.5000000000000001E-2</v>
      </c>
      <c r="K91" t="s">
        <v>6</v>
      </c>
      <c r="L91" t="s">
        <v>1811</v>
      </c>
      <c r="M91" t="s">
        <v>1812</v>
      </c>
      <c r="N91" t="s">
        <v>1813</v>
      </c>
      <c r="O91" t="s">
        <v>1814</v>
      </c>
      <c r="P91" t="s">
        <v>1815</v>
      </c>
    </row>
    <row r="92" spans="1:16">
      <c r="A92" t="b">
        <f t="shared" si="1"/>
        <v>1</v>
      </c>
      <c r="B92" s="1">
        <v>1127</v>
      </c>
      <c r="C92" t="s">
        <v>1793</v>
      </c>
      <c r="D92" t="s">
        <v>407</v>
      </c>
      <c r="E92" s="13">
        <v>9000</v>
      </c>
      <c r="F92" s="15">
        <v>0.09</v>
      </c>
      <c r="G92" s="12">
        <v>43905</v>
      </c>
      <c r="H92" s="14">
        <v>1.1000000000000001</v>
      </c>
      <c r="I92" s="16">
        <f>E92*H92</f>
        <v>9900</v>
      </c>
      <c r="J92" s="14">
        <v>0.09</v>
      </c>
      <c r="K92" t="s">
        <v>6</v>
      </c>
      <c r="L92" t="s">
        <v>1811</v>
      </c>
      <c r="M92" t="s">
        <v>1812</v>
      </c>
      <c r="N92" t="s">
        <v>1813</v>
      </c>
      <c r="O92" t="s">
        <v>1814</v>
      </c>
      <c r="P92" t="s">
        <v>1815</v>
      </c>
    </row>
    <row r="93" spans="1:16">
      <c r="A93" t="b">
        <f t="shared" si="1"/>
        <v>0</v>
      </c>
      <c r="B93" s="1">
        <v>1127</v>
      </c>
      <c r="C93" t="s">
        <v>1793</v>
      </c>
      <c r="D93" t="s">
        <v>407</v>
      </c>
      <c r="E93" s="13">
        <v>8000</v>
      </c>
      <c r="F93" s="15">
        <v>0.08</v>
      </c>
      <c r="G93" s="12">
        <v>44271</v>
      </c>
      <c r="H93">
        <v>95</v>
      </c>
      <c r="I93" s="13">
        <v>7600</v>
      </c>
      <c r="J93" s="15">
        <v>9.5000000000000001E-2</v>
      </c>
      <c r="K93" t="s">
        <v>6</v>
      </c>
      <c r="L93" t="s">
        <v>1811</v>
      </c>
      <c r="M93" t="s">
        <v>1812</v>
      </c>
      <c r="N93" t="s">
        <v>1813</v>
      </c>
      <c r="O93" t="s">
        <v>1814</v>
      </c>
      <c r="P93" t="s">
        <v>1815</v>
      </c>
    </row>
    <row r="94" spans="1:16">
      <c r="A94" t="b">
        <f t="shared" si="1"/>
        <v>1</v>
      </c>
      <c r="B94" s="1">
        <v>1128</v>
      </c>
      <c r="C94" t="s">
        <v>332</v>
      </c>
      <c r="D94" t="s">
        <v>407</v>
      </c>
      <c r="E94" s="13">
        <v>9000</v>
      </c>
      <c r="F94" s="15">
        <v>0.09</v>
      </c>
      <c r="G94" s="12">
        <v>43905</v>
      </c>
      <c r="H94" s="14">
        <v>1.1000000000000001</v>
      </c>
      <c r="I94" s="16">
        <f>E94*H94</f>
        <v>9900</v>
      </c>
      <c r="J94" s="14">
        <v>0.09</v>
      </c>
      <c r="K94" t="s">
        <v>6</v>
      </c>
      <c r="L94" t="s">
        <v>1811</v>
      </c>
      <c r="M94" t="s">
        <v>1812</v>
      </c>
      <c r="N94" t="s">
        <v>1813</v>
      </c>
      <c r="O94" t="s">
        <v>1814</v>
      </c>
      <c r="P94" t="s">
        <v>1815</v>
      </c>
    </row>
    <row r="95" spans="1:16">
      <c r="A95" t="b">
        <f t="shared" si="1"/>
        <v>0</v>
      </c>
      <c r="B95" s="1">
        <v>1128</v>
      </c>
      <c r="C95" t="s">
        <v>332</v>
      </c>
      <c r="D95" t="s">
        <v>407</v>
      </c>
      <c r="E95" s="13">
        <v>8000</v>
      </c>
      <c r="F95" s="15">
        <v>0.08</v>
      </c>
      <c r="G95" s="12">
        <v>44271</v>
      </c>
      <c r="H95">
        <v>95</v>
      </c>
      <c r="I95" s="13">
        <v>7600</v>
      </c>
      <c r="J95" s="15">
        <v>9.5000000000000001E-2</v>
      </c>
      <c r="K95" t="s">
        <v>6</v>
      </c>
      <c r="L95" t="s">
        <v>1811</v>
      </c>
      <c r="M95" t="s">
        <v>1812</v>
      </c>
      <c r="N95" t="s">
        <v>1813</v>
      </c>
      <c r="O95" t="s">
        <v>1814</v>
      </c>
      <c r="P95" t="s">
        <v>1815</v>
      </c>
    </row>
    <row r="96" spans="1:16">
      <c r="A96" t="b">
        <f t="shared" si="1"/>
        <v>1</v>
      </c>
      <c r="B96" s="1">
        <v>1132</v>
      </c>
      <c r="C96" t="s">
        <v>342</v>
      </c>
      <c r="D96" t="s">
        <v>407</v>
      </c>
      <c r="E96" s="13">
        <v>9000</v>
      </c>
      <c r="F96" s="15">
        <v>0.09</v>
      </c>
      <c r="G96" s="12">
        <v>43905</v>
      </c>
      <c r="H96" s="14">
        <v>1.1000000000000001</v>
      </c>
      <c r="I96" s="16">
        <f>E96*H96</f>
        <v>9900</v>
      </c>
      <c r="J96" s="14">
        <v>0.09</v>
      </c>
      <c r="K96" t="s">
        <v>6</v>
      </c>
      <c r="L96" t="s">
        <v>1811</v>
      </c>
      <c r="M96" t="s">
        <v>1812</v>
      </c>
      <c r="N96" t="s">
        <v>1813</v>
      </c>
      <c r="O96" t="s">
        <v>1814</v>
      </c>
      <c r="P96" t="s">
        <v>1815</v>
      </c>
    </row>
    <row r="97" spans="1:16">
      <c r="A97" t="b">
        <f t="shared" si="1"/>
        <v>0</v>
      </c>
      <c r="B97" s="1">
        <v>1132</v>
      </c>
      <c r="C97" t="s">
        <v>342</v>
      </c>
      <c r="D97" t="s">
        <v>407</v>
      </c>
      <c r="E97" s="13">
        <v>8000</v>
      </c>
      <c r="F97" s="15">
        <v>0.08</v>
      </c>
      <c r="G97" s="12">
        <v>44271</v>
      </c>
      <c r="H97">
        <v>95</v>
      </c>
      <c r="I97" s="13">
        <v>7600</v>
      </c>
      <c r="J97" s="15">
        <v>9.5000000000000001E-2</v>
      </c>
      <c r="K97" t="s">
        <v>6</v>
      </c>
      <c r="L97" t="s">
        <v>1811</v>
      </c>
      <c r="M97" t="s">
        <v>1812</v>
      </c>
      <c r="N97" t="s">
        <v>1813</v>
      </c>
      <c r="O97" t="s">
        <v>1814</v>
      </c>
      <c r="P97" t="s">
        <v>1815</v>
      </c>
    </row>
    <row r="98" spans="1:16">
      <c r="A98" t="b">
        <f t="shared" si="1"/>
        <v>1</v>
      </c>
      <c r="B98" s="1">
        <v>2000</v>
      </c>
      <c r="C98" t="s">
        <v>380</v>
      </c>
      <c r="D98" t="s">
        <v>407</v>
      </c>
      <c r="E98" s="13">
        <v>9000</v>
      </c>
      <c r="F98" s="15">
        <v>0.09</v>
      </c>
      <c r="G98" s="12">
        <v>43905</v>
      </c>
      <c r="H98" s="14">
        <v>1.1000000000000001</v>
      </c>
      <c r="I98" s="16">
        <f>E98*H98</f>
        <v>9900</v>
      </c>
      <c r="J98" s="14">
        <v>0.09</v>
      </c>
      <c r="K98" t="s">
        <v>6</v>
      </c>
      <c r="L98" t="s">
        <v>1811</v>
      </c>
      <c r="M98" t="s">
        <v>1812</v>
      </c>
      <c r="N98" t="s">
        <v>1813</v>
      </c>
      <c r="O98" t="s">
        <v>1814</v>
      </c>
      <c r="P98" t="s">
        <v>1815</v>
      </c>
    </row>
    <row r="99" spans="1:16">
      <c r="A99" t="b">
        <f t="shared" si="1"/>
        <v>0</v>
      </c>
      <c r="B99" s="1">
        <v>2000</v>
      </c>
      <c r="C99" t="s">
        <v>380</v>
      </c>
      <c r="D99" t="s">
        <v>407</v>
      </c>
      <c r="E99" s="13">
        <v>8000</v>
      </c>
      <c r="F99" s="15">
        <v>0.08</v>
      </c>
      <c r="G99" s="12">
        <v>44271</v>
      </c>
      <c r="H99">
        <v>95</v>
      </c>
      <c r="I99" s="13">
        <v>7600</v>
      </c>
      <c r="J99" s="15">
        <v>9.5000000000000001E-2</v>
      </c>
      <c r="K99" t="s">
        <v>6</v>
      </c>
      <c r="L99" t="s">
        <v>1811</v>
      </c>
      <c r="M99" t="s">
        <v>1812</v>
      </c>
      <c r="N99" t="s">
        <v>1813</v>
      </c>
      <c r="O99" t="s">
        <v>1814</v>
      </c>
      <c r="P99" t="s">
        <v>1815</v>
      </c>
    </row>
    <row r="100" spans="1:16">
      <c r="A100" t="b">
        <f t="shared" si="1"/>
        <v>1</v>
      </c>
      <c r="B100" s="1">
        <v>2001</v>
      </c>
      <c r="C100" t="s">
        <v>381</v>
      </c>
      <c r="D100" t="s">
        <v>407</v>
      </c>
      <c r="E100" s="13">
        <v>9000</v>
      </c>
      <c r="F100" s="15">
        <v>0.09</v>
      </c>
      <c r="G100" s="12">
        <v>43905</v>
      </c>
      <c r="H100" s="14">
        <v>1.1000000000000001</v>
      </c>
      <c r="I100" s="16">
        <f>E100*H100</f>
        <v>9900</v>
      </c>
      <c r="J100" s="14">
        <v>0.09</v>
      </c>
      <c r="K100" t="s">
        <v>6</v>
      </c>
      <c r="L100" t="s">
        <v>1811</v>
      </c>
      <c r="M100" t="s">
        <v>1812</v>
      </c>
      <c r="N100" t="s">
        <v>1813</v>
      </c>
      <c r="O100" t="s">
        <v>1814</v>
      </c>
      <c r="P100" t="s">
        <v>1815</v>
      </c>
    </row>
    <row r="101" spans="1:16">
      <c r="A101" t="b">
        <f t="shared" si="1"/>
        <v>0</v>
      </c>
      <c r="B101" s="1">
        <v>2001</v>
      </c>
      <c r="C101" t="s">
        <v>381</v>
      </c>
      <c r="D101" t="s">
        <v>407</v>
      </c>
      <c r="E101" s="13">
        <v>8000</v>
      </c>
      <c r="F101" s="15">
        <v>0.08</v>
      </c>
      <c r="G101" s="12">
        <v>44271</v>
      </c>
      <c r="H101">
        <v>95</v>
      </c>
      <c r="I101" s="13">
        <v>7600</v>
      </c>
      <c r="J101" s="15">
        <v>9.5000000000000001E-2</v>
      </c>
      <c r="K101" t="s">
        <v>6</v>
      </c>
      <c r="L101" t="s">
        <v>1811</v>
      </c>
      <c r="M101" t="s">
        <v>1812</v>
      </c>
      <c r="N101" t="s">
        <v>1813</v>
      </c>
      <c r="O101" t="s">
        <v>1814</v>
      </c>
      <c r="P101" t="s">
        <v>1815</v>
      </c>
    </row>
    <row r="102" spans="1:16">
      <c r="A102" t="b">
        <f t="shared" si="1"/>
        <v>1</v>
      </c>
      <c r="B102" s="1">
        <v>2002</v>
      </c>
      <c r="C102" t="s">
        <v>185</v>
      </c>
      <c r="D102" t="s">
        <v>407</v>
      </c>
      <c r="E102" s="13">
        <v>9000</v>
      </c>
      <c r="F102" s="15">
        <v>0.09</v>
      </c>
      <c r="G102" s="12">
        <v>43905</v>
      </c>
      <c r="H102" s="14">
        <v>1.1000000000000001</v>
      </c>
      <c r="I102" s="16">
        <f>E102*H102</f>
        <v>9900</v>
      </c>
      <c r="J102" s="14">
        <v>0.09</v>
      </c>
      <c r="K102" t="s">
        <v>6</v>
      </c>
      <c r="L102" t="s">
        <v>1811</v>
      </c>
      <c r="M102" t="s">
        <v>1812</v>
      </c>
      <c r="N102" t="s">
        <v>1813</v>
      </c>
      <c r="O102" t="s">
        <v>1814</v>
      </c>
      <c r="P102" t="s">
        <v>1815</v>
      </c>
    </row>
    <row r="103" spans="1:16">
      <c r="A103" t="b">
        <f t="shared" si="1"/>
        <v>0</v>
      </c>
      <c r="B103" s="1">
        <v>2002</v>
      </c>
      <c r="C103" t="s">
        <v>185</v>
      </c>
      <c r="D103" t="s">
        <v>407</v>
      </c>
      <c r="E103" s="13">
        <v>8000</v>
      </c>
      <c r="F103" s="15">
        <v>0.08</v>
      </c>
      <c r="G103" s="12">
        <v>44271</v>
      </c>
      <c r="H103">
        <v>95</v>
      </c>
      <c r="I103" s="13">
        <v>7600</v>
      </c>
      <c r="J103" s="15">
        <v>9.5000000000000001E-2</v>
      </c>
      <c r="K103" t="s">
        <v>6</v>
      </c>
      <c r="L103" t="s">
        <v>1811</v>
      </c>
      <c r="M103" t="s">
        <v>1812</v>
      </c>
      <c r="N103" t="s">
        <v>1813</v>
      </c>
      <c r="O103" t="s">
        <v>1814</v>
      </c>
      <c r="P103" t="s">
        <v>1815</v>
      </c>
    </row>
    <row r="104" spans="1:16">
      <c r="A104" t="b">
        <f t="shared" si="1"/>
        <v>1</v>
      </c>
      <c r="B104" s="1">
        <v>2003</v>
      </c>
      <c r="C104" t="s">
        <v>222</v>
      </c>
      <c r="D104" t="s">
        <v>407</v>
      </c>
      <c r="E104" s="13">
        <v>9000</v>
      </c>
      <c r="F104" s="15">
        <v>0.09</v>
      </c>
      <c r="G104" s="12">
        <v>43905</v>
      </c>
      <c r="H104" s="14">
        <v>1.1000000000000001</v>
      </c>
      <c r="I104" s="16">
        <f>E104*H104</f>
        <v>9900</v>
      </c>
      <c r="J104" s="14">
        <v>0.09</v>
      </c>
      <c r="K104" t="s">
        <v>6</v>
      </c>
      <c r="L104" t="s">
        <v>1811</v>
      </c>
      <c r="M104" t="s">
        <v>1812</v>
      </c>
      <c r="N104" t="s">
        <v>1813</v>
      </c>
      <c r="O104" t="s">
        <v>1814</v>
      </c>
      <c r="P104" t="s">
        <v>1815</v>
      </c>
    </row>
    <row r="105" spans="1:16">
      <c r="A105" t="b">
        <f t="shared" si="1"/>
        <v>0</v>
      </c>
      <c r="B105" s="1">
        <v>2003</v>
      </c>
      <c r="C105" t="s">
        <v>222</v>
      </c>
      <c r="D105" t="s">
        <v>407</v>
      </c>
      <c r="E105" s="13">
        <v>8000</v>
      </c>
      <c r="F105" s="15">
        <v>0.08</v>
      </c>
      <c r="G105" s="12">
        <v>44271</v>
      </c>
      <c r="H105">
        <v>95</v>
      </c>
      <c r="I105" s="13">
        <v>7600</v>
      </c>
      <c r="J105" s="15">
        <v>9.5000000000000001E-2</v>
      </c>
      <c r="K105" t="s">
        <v>6</v>
      </c>
      <c r="L105" t="s">
        <v>1811</v>
      </c>
      <c r="M105" t="s">
        <v>1812</v>
      </c>
      <c r="N105" t="s">
        <v>1813</v>
      </c>
      <c r="O105" t="s">
        <v>1814</v>
      </c>
      <c r="P105" t="s">
        <v>1815</v>
      </c>
    </row>
    <row r="106" spans="1:16">
      <c r="A106" t="b">
        <f t="shared" si="1"/>
        <v>1</v>
      </c>
      <c r="B106" s="1">
        <v>2003</v>
      </c>
      <c r="C106" t="s">
        <v>222</v>
      </c>
      <c r="D106" t="s">
        <v>407</v>
      </c>
      <c r="E106" s="13">
        <v>9000</v>
      </c>
      <c r="F106" s="15">
        <v>0.09</v>
      </c>
      <c r="G106" s="12">
        <v>43905</v>
      </c>
      <c r="H106" s="14">
        <v>1.1000000000000001</v>
      </c>
      <c r="I106" s="16">
        <f>E106*H106</f>
        <v>9900</v>
      </c>
      <c r="J106" s="14">
        <v>0.09</v>
      </c>
      <c r="K106" t="s">
        <v>6</v>
      </c>
      <c r="L106" t="s">
        <v>1811</v>
      </c>
      <c r="M106" t="s">
        <v>1812</v>
      </c>
      <c r="N106" t="s">
        <v>1813</v>
      </c>
      <c r="O106" t="s">
        <v>1814</v>
      </c>
      <c r="P106" t="s">
        <v>1815</v>
      </c>
    </row>
    <row r="107" spans="1:16">
      <c r="A107" t="b">
        <f t="shared" si="1"/>
        <v>0</v>
      </c>
      <c r="B107" s="1">
        <v>2003</v>
      </c>
      <c r="C107" t="s">
        <v>222</v>
      </c>
      <c r="D107" t="s">
        <v>407</v>
      </c>
      <c r="E107" s="13">
        <v>8000</v>
      </c>
      <c r="F107" s="15">
        <v>0.08</v>
      </c>
      <c r="G107" s="12">
        <v>44271</v>
      </c>
      <c r="H107">
        <v>95</v>
      </c>
      <c r="I107" s="13">
        <v>7600</v>
      </c>
      <c r="J107" s="15">
        <v>9.5000000000000001E-2</v>
      </c>
      <c r="K107" t="s">
        <v>6</v>
      </c>
      <c r="L107" t="s">
        <v>1811</v>
      </c>
      <c r="M107" t="s">
        <v>1812</v>
      </c>
      <c r="N107" t="s">
        <v>1813</v>
      </c>
      <c r="O107" t="s">
        <v>1814</v>
      </c>
      <c r="P107" t="s">
        <v>1815</v>
      </c>
    </row>
    <row r="108" spans="1:16">
      <c r="A108" t="b">
        <f t="shared" si="1"/>
        <v>1</v>
      </c>
      <c r="B108" s="1">
        <v>2004</v>
      </c>
      <c r="C108" t="s">
        <v>409</v>
      </c>
      <c r="D108" t="s">
        <v>407</v>
      </c>
      <c r="E108" s="13">
        <v>9000</v>
      </c>
      <c r="F108" s="15">
        <v>0.09</v>
      </c>
      <c r="G108" s="12">
        <v>43905</v>
      </c>
      <c r="H108" s="14">
        <v>1.1000000000000001</v>
      </c>
      <c r="I108" s="16">
        <f>E108*H108</f>
        <v>9900</v>
      </c>
      <c r="J108" s="14">
        <v>0.09</v>
      </c>
      <c r="K108" t="s">
        <v>6</v>
      </c>
      <c r="L108" t="s">
        <v>1811</v>
      </c>
      <c r="M108" t="s">
        <v>1812</v>
      </c>
      <c r="N108" t="s">
        <v>1813</v>
      </c>
      <c r="O108" t="s">
        <v>1814</v>
      </c>
      <c r="P108" t="s">
        <v>1815</v>
      </c>
    </row>
    <row r="109" spans="1:16">
      <c r="A109" t="b">
        <f t="shared" si="1"/>
        <v>0</v>
      </c>
      <c r="B109" s="1">
        <v>2004</v>
      </c>
      <c r="C109" t="s">
        <v>409</v>
      </c>
      <c r="D109" t="s">
        <v>407</v>
      </c>
      <c r="E109" s="13">
        <v>8000</v>
      </c>
      <c r="F109" s="15">
        <v>0.08</v>
      </c>
      <c r="G109" s="12">
        <v>44271</v>
      </c>
      <c r="H109">
        <v>95</v>
      </c>
      <c r="I109" s="13">
        <v>7600</v>
      </c>
      <c r="J109" s="15">
        <v>9.5000000000000001E-2</v>
      </c>
      <c r="K109" t="s">
        <v>6</v>
      </c>
      <c r="L109" t="s">
        <v>1811</v>
      </c>
      <c r="M109" t="s">
        <v>1812</v>
      </c>
      <c r="N109" t="s">
        <v>1813</v>
      </c>
      <c r="O109" t="s">
        <v>1814</v>
      </c>
      <c r="P109" t="s">
        <v>1815</v>
      </c>
    </row>
    <row r="110" spans="1:16">
      <c r="A110" t="b">
        <f t="shared" si="1"/>
        <v>1</v>
      </c>
      <c r="B110" s="1">
        <v>2005</v>
      </c>
      <c r="C110" t="s">
        <v>411</v>
      </c>
      <c r="D110" t="s">
        <v>407</v>
      </c>
      <c r="E110" s="13">
        <v>9000</v>
      </c>
      <c r="F110" s="15">
        <v>0.09</v>
      </c>
      <c r="G110" s="12">
        <v>43905</v>
      </c>
      <c r="H110" s="14">
        <v>1.1000000000000001</v>
      </c>
      <c r="I110" s="16">
        <f>E110*H110</f>
        <v>9900</v>
      </c>
      <c r="J110" s="14">
        <v>0.09</v>
      </c>
      <c r="K110" t="s">
        <v>6</v>
      </c>
      <c r="L110" t="s">
        <v>1811</v>
      </c>
      <c r="M110" t="s">
        <v>1812</v>
      </c>
      <c r="N110" t="s">
        <v>1813</v>
      </c>
      <c r="O110" t="s">
        <v>1814</v>
      </c>
      <c r="P110" t="s">
        <v>1815</v>
      </c>
    </row>
    <row r="111" spans="1:16">
      <c r="A111" t="b">
        <f t="shared" si="1"/>
        <v>0</v>
      </c>
      <c r="B111" s="1">
        <v>2005</v>
      </c>
      <c r="C111" t="s">
        <v>411</v>
      </c>
      <c r="D111" t="s">
        <v>407</v>
      </c>
      <c r="E111" s="13">
        <v>8000</v>
      </c>
      <c r="F111" s="15">
        <v>0.08</v>
      </c>
      <c r="G111" s="12">
        <v>44271</v>
      </c>
      <c r="H111">
        <v>95</v>
      </c>
      <c r="I111" s="13">
        <v>7600</v>
      </c>
      <c r="J111" s="15">
        <v>9.5000000000000001E-2</v>
      </c>
      <c r="K111" t="s">
        <v>6</v>
      </c>
      <c r="L111" t="s">
        <v>1811</v>
      </c>
      <c r="M111" t="s">
        <v>1812</v>
      </c>
      <c r="N111" t="s">
        <v>1813</v>
      </c>
      <c r="O111" t="s">
        <v>1814</v>
      </c>
      <c r="P111" t="s">
        <v>1815</v>
      </c>
    </row>
    <row r="112" spans="1:16">
      <c r="A112" t="b">
        <f t="shared" si="1"/>
        <v>1</v>
      </c>
      <c r="B112" s="1">
        <v>2006</v>
      </c>
      <c r="C112" t="s">
        <v>217</v>
      </c>
      <c r="D112" t="s">
        <v>407</v>
      </c>
      <c r="E112" s="13">
        <v>9000</v>
      </c>
      <c r="F112" s="15">
        <v>0.09</v>
      </c>
      <c r="G112" s="12">
        <v>43905</v>
      </c>
      <c r="H112" s="14">
        <v>1.1000000000000001</v>
      </c>
      <c r="I112" s="16">
        <f>E112*H112</f>
        <v>9900</v>
      </c>
      <c r="J112" s="14">
        <v>0.09</v>
      </c>
      <c r="K112" t="s">
        <v>6</v>
      </c>
      <c r="L112" t="s">
        <v>1811</v>
      </c>
      <c r="M112" t="s">
        <v>1812</v>
      </c>
      <c r="N112" t="s">
        <v>1813</v>
      </c>
      <c r="O112" t="s">
        <v>1814</v>
      </c>
      <c r="P112" t="s">
        <v>1815</v>
      </c>
    </row>
    <row r="113" spans="1:16">
      <c r="A113" t="b">
        <f t="shared" si="1"/>
        <v>0</v>
      </c>
      <c r="B113" s="1">
        <v>2006</v>
      </c>
      <c r="C113" t="s">
        <v>217</v>
      </c>
      <c r="D113" t="s">
        <v>407</v>
      </c>
      <c r="E113" s="13">
        <v>8000</v>
      </c>
      <c r="F113" s="15">
        <v>0.08</v>
      </c>
      <c r="G113" s="12">
        <v>44271</v>
      </c>
      <c r="H113">
        <v>95</v>
      </c>
      <c r="I113" s="13">
        <v>7600</v>
      </c>
      <c r="J113" s="15">
        <v>9.5000000000000001E-2</v>
      </c>
      <c r="K113" t="s">
        <v>6</v>
      </c>
      <c r="L113" t="s">
        <v>1811</v>
      </c>
      <c r="M113" t="s">
        <v>1812</v>
      </c>
      <c r="N113" t="s">
        <v>1813</v>
      </c>
      <c r="O113" t="s">
        <v>1814</v>
      </c>
      <c r="P113" t="s">
        <v>1815</v>
      </c>
    </row>
    <row r="114" spans="1:16">
      <c r="A114" t="b">
        <f t="shared" si="1"/>
        <v>1</v>
      </c>
      <c r="B114" s="1">
        <v>2006</v>
      </c>
      <c r="C114" t="s">
        <v>217</v>
      </c>
      <c r="D114" t="s">
        <v>407</v>
      </c>
      <c r="E114" s="13">
        <v>9000</v>
      </c>
      <c r="F114" s="15">
        <v>0.09</v>
      </c>
      <c r="G114" s="12">
        <v>43905</v>
      </c>
      <c r="H114" s="14">
        <v>1.1000000000000001</v>
      </c>
      <c r="I114" s="16">
        <f>E114*H114</f>
        <v>9900</v>
      </c>
      <c r="J114" s="14">
        <v>0.09</v>
      </c>
      <c r="K114" t="s">
        <v>6</v>
      </c>
      <c r="L114" t="s">
        <v>1811</v>
      </c>
      <c r="M114" t="s">
        <v>1812</v>
      </c>
      <c r="N114" t="s">
        <v>1813</v>
      </c>
      <c r="O114" t="s">
        <v>1814</v>
      </c>
      <c r="P114" t="s">
        <v>1815</v>
      </c>
    </row>
    <row r="115" spans="1:16">
      <c r="A115" t="b">
        <f t="shared" si="1"/>
        <v>0</v>
      </c>
      <c r="B115" s="1">
        <v>2006</v>
      </c>
      <c r="C115" t="s">
        <v>217</v>
      </c>
      <c r="D115" t="s">
        <v>407</v>
      </c>
      <c r="E115" s="13">
        <v>8000</v>
      </c>
      <c r="F115" s="15">
        <v>0.08</v>
      </c>
      <c r="G115" s="12">
        <v>44271</v>
      </c>
      <c r="H115">
        <v>95</v>
      </c>
      <c r="I115" s="13">
        <v>7600</v>
      </c>
      <c r="J115" s="15">
        <v>9.5000000000000001E-2</v>
      </c>
      <c r="K115" t="s">
        <v>6</v>
      </c>
      <c r="L115" t="s">
        <v>1811</v>
      </c>
      <c r="M115" t="s">
        <v>1812</v>
      </c>
      <c r="N115" t="s">
        <v>1813</v>
      </c>
      <c r="O115" t="s">
        <v>1814</v>
      </c>
      <c r="P115" t="s">
        <v>1815</v>
      </c>
    </row>
    <row r="116" spans="1:16">
      <c r="A116" t="b">
        <f t="shared" si="1"/>
        <v>1</v>
      </c>
      <c r="B116" s="1">
        <v>2007</v>
      </c>
      <c r="C116" t="s">
        <v>210</v>
      </c>
      <c r="D116" t="s">
        <v>407</v>
      </c>
      <c r="E116" s="13">
        <v>9000</v>
      </c>
      <c r="F116" s="15">
        <v>0.09</v>
      </c>
      <c r="G116" s="12">
        <v>43905</v>
      </c>
      <c r="H116" s="14">
        <v>1.1000000000000001</v>
      </c>
      <c r="I116" s="16">
        <f>E116*H116</f>
        <v>9900</v>
      </c>
      <c r="J116" s="14">
        <v>0.09</v>
      </c>
      <c r="K116" t="s">
        <v>6</v>
      </c>
      <c r="L116" t="s">
        <v>1811</v>
      </c>
      <c r="M116" t="s">
        <v>1812</v>
      </c>
      <c r="N116" t="s">
        <v>1813</v>
      </c>
      <c r="O116" t="s">
        <v>1814</v>
      </c>
      <c r="P116" t="s">
        <v>1815</v>
      </c>
    </row>
    <row r="117" spans="1:16">
      <c r="A117" t="b">
        <f t="shared" si="1"/>
        <v>0</v>
      </c>
      <c r="B117" s="1">
        <v>2007</v>
      </c>
      <c r="C117" t="s">
        <v>210</v>
      </c>
      <c r="D117" t="s">
        <v>407</v>
      </c>
      <c r="E117" s="13">
        <v>8000</v>
      </c>
      <c r="F117" s="15">
        <v>0.08</v>
      </c>
      <c r="G117" s="12">
        <v>44271</v>
      </c>
      <c r="H117">
        <v>95</v>
      </c>
      <c r="I117" s="13">
        <v>7600</v>
      </c>
      <c r="J117" s="15">
        <v>9.5000000000000001E-2</v>
      </c>
      <c r="K117" t="s">
        <v>6</v>
      </c>
      <c r="L117" t="s">
        <v>1811</v>
      </c>
      <c r="M117" t="s">
        <v>1812</v>
      </c>
      <c r="N117" t="s">
        <v>1813</v>
      </c>
      <c r="O117" t="s">
        <v>1814</v>
      </c>
      <c r="P117" t="s">
        <v>1815</v>
      </c>
    </row>
    <row r="118" spans="1:16">
      <c r="A118" t="b">
        <f t="shared" si="1"/>
        <v>1</v>
      </c>
      <c r="B118" s="1">
        <v>2007</v>
      </c>
      <c r="C118" t="s">
        <v>210</v>
      </c>
      <c r="D118" t="s">
        <v>407</v>
      </c>
      <c r="E118" s="13">
        <v>9000</v>
      </c>
      <c r="F118" s="15">
        <v>0.09</v>
      </c>
      <c r="G118" s="12">
        <v>43905</v>
      </c>
      <c r="H118" s="14">
        <v>1.1000000000000001</v>
      </c>
      <c r="I118" s="16">
        <f>E118*H118</f>
        <v>9900</v>
      </c>
      <c r="J118" s="14">
        <v>0.09</v>
      </c>
      <c r="K118" t="s">
        <v>6</v>
      </c>
      <c r="L118" t="s">
        <v>1811</v>
      </c>
      <c r="M118" t="s">
        <v>1812</v>
      </c>
      <c r="N118" t="s">
        <v>1813</v>
      </c>
      <c r="O118" t="s">
        <v>1814</v>
      </c>
      <c r="P118" t="s">
        <v>1815</v>
      </c>
    </row>
    <row r="119" spans="1:16">
      <c r="A119" t="b">
        <f t="shared" si="1"/>
        <v>0</v>
      </c>
      <c r="B119" s="1">
        <v>2008</v>
      </c>
      <c r="C119" t="s">
        <v>1796</v>
      </c>
      <c r="D119" t="s">
        <v>407</v>
      </c>
      <c r="E119" s="13">
        <v>8000</v>
      </c>
      <c r="F119" s="15">
        <v>0.08</v>
      </c>
      <c r="G119" s="12">
        <v>44271</v>
      </c>
      <c r="H119">
        <v>95</v>
      </c>
      <c r="I119" s="13">
        <v>7600</v>
      </c>
      <c r="J119" s="15">
        <v>9.5000000000000001E-2</v>
      </c>
      <c r="K119" t="s">
        <v>6</v>
      </c>
      <c r="L119" t="s">
        <v>1811</v>
      </c>
      <c r="M119" t="s">
        <v>1812</v>
      </c>
      <c r="N119" t="s">
        <v>1813</v>
      </c>
      <c r="O119" t="s">
        <v>1814</v>
      </c>
      <c r="P119" t="s">
        <v>1815</v>
      </c>
    </row>
    <row r="120" spans="1:16">
      <c r="A120" t="b">
        <f t="shared" si="1"/>
        <v>1</v>
      </c>
      <c r="B120" s="1">
        <v>2008</v>
      </c>
      <c r="C120" t="s">
        <v>1796</v>
      </c>
      <c r="D120" t="s">
        <v>407</v>
      </c>
      <c r="E120" s="13">
        <v>9000</v>
      </c>
      <c r="F120" s="15">
        <v>0.09</v>
      </c>
      <c r="G120" s="12">
        <v>43905</v>
      </c>
      <c r="H120" s="14">
        <v>1.1000000000000001</v>
      </c>
      <c r="I120" s="16">
        <f>E120*H120</f>
        <v>9900</v>
      </c>
      <c r="J120" s="14">
        <v>0.09</v>
      </c>
      <c r="K120" t="s">
        <v>6</v>
      </c>
      <c r="L120" t="s">
        <v>1811</v>
      </c>
      <c r="M120" t="s">
        <v>1812</v>
      </c>
      <c r="N120" t="s">
        <v>1813</v>
      </c>
      <c r="O120" t="s">
        <v>1814</v>
      </c>
      <c r="P120" t="s">
        <v>1815</v>
      </c>
    </row>
    <row r="121" spans="1:16">
      <c r="A121" t="b">
        <f t="shared" si="1"/>
        <v>0</v>
      </c>
      <c r="B121" s="1">
        <v>2009</v>
      </c>
      <c r="C121" t="s">
        <v>1797</v>
      </c>
      <c r="D121" t="s">
        <v>407</v>
      </c>
      <c r="E121" s="13">
        <v>8000</v>
      </c>
      <c r="F121" s="15">
        <v>0.08</v>
      </c>
      <c r="G121" s="12">
        <v>44271</v>
      </c>
      <c r="H121">
        <v>95</v>
      </c>
      <c r="I121" s="13">
        <v>7600</v>
      </c>
      <c r="J121" s="15">
        <v>9.5000000000000001E-2</v>
      </c>
      <c r="K121" t="s">
        <v>6</v>
      </c>
      <c r="L121" t="s">
        <v>1811</v>
      </c>
      <c r="M121" t="s">
        <v>1812</v>
      </c>
      <c r="N121" t="s">
        <v>1813</v>
      </c>
      <c r="O121" t="s">
        <v>1814</v>
      </c>
      <c r="P121" t="s">
        <v>1815</v>
      </c>
    </row>
    <row r="122" spans="1:16">
      <c r="A122" t="b">
        <f t="shared" si="1"/>
        <v>1</v>
      </c>
      <c r="B122" s="1">
        <v>2009</v>
      </c>
      <c r="C122" t="s">
        <v>1797</v>
      </c>
      <c r="D122" t="s">
        <v>407</v>
      </c>
      <c r="E122" s="13">
        <v>9000</v>
      </c>
      <c r="F122" s="15">
        <v>0.09</v>
      </c>
      <c r="G122" s="12">
        <v>43905</v>
      </c>
      <c r="H122" s="14">
        <v>1.1000000000000001</v>
      </c>
      <c r="I122" s="16">
        <f>E122*H122</f>
        <v>9900</v>
      </c>
      <c r="J122" s="14">
        <v>0.09</v>
      </c>
      <c r="K122" t="s">
        <v>6</v>
      </c>
      <c r="L122" t="s">
        <v>1811</v>
      </c>
      <c r="M122" t="s">
        <v>1812</v>
      </c>
      <c r="N122" t="s">
        <v>1813</v>
      </c>
      <c r="O122" t="s">
        <v>1814</v>
      </c>
      <c r="P122" t="s">
        <v>1815</v>
      </c>
    </row>
    <row r="123" spans="1:16">
      <c r="A123" t="b">
        <f t="shared" si="1"/>
        <v>0</v>
      </c>
      <c r="B123" s="1">
        <v>2010</v>
      </c>
      <c r="C123" t="s">
        <v>203</v>
      </c>
      <c r="D123" t="s">
        <v>407</v>
      </c>
      <c r="E123" s="13">
        <v>8000</v>
      </c>
      <c r="F123" s="15">
        <v>0.08</v>
      </c>
      <c r="G123" s="12">
        <v>44271</v>
      </c>
      <c r="H123">
        <v>95</v>
      </c>
      <c r="I123" s="13">
        <v>7600</v>
      </c>
      <c r="J123" s="15">
        <v>9.5000000000000001E-2</v>
      </c>
      <c r="K123" t="s">
        <v>6</v>
      </c>
      <c r="L123" t="s">
        <v>1811</v>
      </c>
      <c r="M123" t="s">
        <v>1812</v>
      </c>
      <c r="N123" t="s">
        <v>1813</v>
      </c>
      <c r="O123" t="s">
        <v>1814</v>
      </c>
      <c r="P123" t="s">
        <v>1815</v>
      </c>
    </row>
    <row r="124" spans="1:16">
      <c r="A124" t="b">
        <f t="shared" si="1"/>
        <v>1</v>
      </c>
      <c r="B124" s="1">
        <v>2010</v>
      </c>
      <c r="C124" t="s">
        <v>203</v>
      </c>
      <c r="D124" t="s">
        <v>407</v>
      </c>
      <c r="E124" s="13">
        <v>9000</v>
      </c>
      <c r="F124" s="15">
        <v>0.09</v>
      </c>
      <c r="G124" s="12">
        <v>43905</v>
      </c>
      <c r="H124" s="14">
        <v>1.1000000000000001</v>
      </c>
      <c r="I124" s="16">
        <f>E124*H124</f>
        <v>9900</v>
      </c>
      <c r="J124" s="14">
        <v>0.09</v>
      </c>
      <c r="K124" t="s">
        <v>6</v>
      </c>
      <c r="L124" t="s">
        <v>1811</v>
      </c>
      <c r="M124" t="s">
        <v>1812</v>
      </c>
      <c r="N124" t="s">
        <v>1813</v>
      </c>
      <c r="O124" t="s">
        <v>1814</v>
      </c>
      <c r="P124" t="s">
        <v>1815</v>
      </c>
    </row>
    <row r="125" spans="1:16">
      <c r="A125" t="b">
        <f t="shared" si="1"/>
        <v>0</v>
      </c>
      <c r="B125" s="1">
        <v>2011</v>
      </c>
      <c r="C125" t="s">
        <v>1798</v>
      </c>
      <c r="D125" t="s">
        <v>407</v>
      </c>
      <c r="E125" s="13">
        <v>8000</v>
      </c>
      <c r="F125" s="15">
        <v>0.08</v>
      </c>
      <c r="G125" s="12">
        <v>44271</v>
      </c>
      <c r="H125">
        <v>95</v>
      </c>
      <c r="I125" s="13">
        <v>7600</v>
      </c>
      <c r="J125" s="15">
        <v>9.5000000000000001E-2</v>
      </c>
      <c r="K125" t="s">
        <v>6</v>
      </c>
      <c r="L125" t="s">
        <v>1811</v>
      </c>
      <c r="M125" t="s">
        <v>1812</v>
      </c>
      <c r="N125" t="s">
        <v>1813</v>
      </c>
      <c r="O125" t="s">
        <v>1814</v>
      </c>
      <c r="P125" t="s">
        <v>1815</v>
      </c>
    </row>
    <row r="126" spans="1:16">
      <c r="A126" t="b">
        <f t="shared" si="1"/>
        <v>1</v>
      </c>
      <c r="B126" s="1">
        <v>2011</v>
      </c>
      <c r="C126" t="s">
        <v>1798</v>
      </c>
      <c r="D126" t="s">
        <v>407</v>
      </c>
      <c r="E126" s="13">
        <v>9000</v>
      </c>
      <c r="F126" s="15">
        <v>0.09</v>
      </c>
      <c r="G126" s="12">
        <v>43905</v>
      </c>
      <c r="H126" s="14">
        <v>1.1000000000000001</v>
      </c>
      <c r="I126" s="16">
        <f>E126*H126</f>
        <v>9900</v>
      </c>
      <c r="J126" s="14">
        <v>0.09</v>
      </c>
      <c r="K126" t="s">
        <v>6</v>
      </c>
      <c r="L126" t="s">
        <v>1811</v>
      </c>
      <c r="M126" t="s">
        <v>1812</v>
      </c>
      <c r="N126" t="s">
        <v>1813</v>
      </c>
      <c r="O126" t="s">
        <v>1814</v>
      </c>
      <c r="P126" t="s">
        <v>1815</v>
      </c>
    </row>
    <row r="127" spans="1:16">
      <c r="A127" t="b">
        <f t="shared" si="1"/>
        <v>0</v>
      </c>
      <c r="B127" s="1">
        <v>2011</v>
      </c>
      <c r="C127" t="s">
        <v>1798</v>
      </c>
      <c r="D127" t="s">
        <v>407</v>
      </c>
      <c r="E127" s="13">
        <v>8000</v>
      </c>
      <c r="F127" s="15">
        <v>0.08</v>
      </c>
      <c r="G127" s="12">
        <v>44271</v>
      </c>
      <c r="H127">
        <v>95</v>
      </c>
      <c r="I127" s="13">
        <v>7600</v>
      </c>
      <c r="J127" s="15">
        <v>9.5000000000000001E-2</v>
      </c>
      <c r="K127" t="s">
        <v>6</v>
      </c>
      <c r="L127" t="s">
        <v>1811</v>
      </c>
      <c r="M127" t="s">
        <v>1812</v>
      </c>
      <c r="N127" t="s">
        <v>1813</v>
      </c>
      <c r="O127" t="s">
        <v>1814</v>
      </c>
      <c r="P127" t="s">
        <v>1815</v>
      </c>
    </row>
    <row r="128" spans="1:16">
      <c r="A128" t="b">
        <f t="shared" si="1"/>
        <v>1</v>
      </c>
      <c r="B128" s="1">
        <v>2012</v>
      </c>
      <c r="C128" t="s">
        <v>1799</v>
      </c>
      <c r="D128" t="s">
        <v>407</v>
      </c>
      <c r="E128" s="13">
        <v>9000</v>
      </c>
      <c r="F128" s="15">
        <v>0.09</v>
      </c>
      <c r="G128" s="12">
        <v>43905</v>
      </c>
      <c r="H128" s="14">
        <v>1.1000000000000001</v>
      </c>
      <c r="I128" s="16">
        <f>E128*H128</f>
        <v>9900</v>
      </c>
      <c r="J128" s="14">
        <v>0.09</v>
      </c>
      <c r="K128" t="s">
        <v>6</v>
      </c>
      <c r="L128" t="s">
        <v>1811</v>
      </c>
      <c r="M128" t="s">
        <v>1812</v>
      </c>
      <c r="N128" t="s">
        <v>1813</v>
      </c>
      <c r="O128" t="s">
        <v>1814</v>
      </c>
      <c r="P128" t="s">
        <v>1815</v>
      </c>
    </row>
    <row r="129" spans="1:16">
      <c r="A129" t="b">
        <f t="shared" si="1"/>
        <v>0</v>
      </c>
      <c r="B129" s="1">
        <v>2012</v>
      </c>
      <c r="C129" t="s">
        <v>1799</v>
      </c>
      <c r="D129" t="s">
        <v>407</v>
      </c>
      <c r="E129" s="13">
        <v>8000</v>
      </c>
      <c r="F129" s="15">
        <v>0.08</v>
      </c>
      <c r="G129" s="12">
        <v>44271</v>
      </c>
      <c r="H129">
        <v>95</v>
      </c>
      <c r="I129" s="13">
        <v>7600</v>
      </c>
      <c r="J129" s="15">
        <v>9.5000000000000001E-2</v>
      </c>
      <c r="K129" t="s">
        <v>6</v>
      </c>
      <c r="L129" t="s">
        <v>1811</v>
      </c>
      <c r="M129" t="s">
        <v>1812</v>
      </c>
      <c r="N129" t="s">
        <v>1813</v>
      </c>
      <c r="O129" t="s">
        <v>1814</v>
      </c>
      <c r="P129" t="s">
        <v>1815</v>
      </c>
    </row>
    <row r="130" spans="1:16">
      <c r="A130" t="b">
        <f t="shared" si="1"/>
        <v>1</v>
      </c>
      <c r="B130" s="1">
        <v>2012</v>
      </c>
      <c r="C130" t="s">
        <v>1799</v>
      </c>
      <c r="D130" t="s">
        <v>407</v>
      </c>
      <c r="E130" s="13">
        <v>9000</v>
      </c>
      <c r="F130" s="15">
        <v>0.09</v>
      </c>
      <c r="G130" s="12">
        <v>43905</v>
      </c>
      <c r="H130" s="14">
        <v>1.1000000000000001</v>
      </c>
      <c r="I130" s="16">
        <f>E130*H130</f>
        <v>9900</v>
      </c>
      <c r="J130" s="14">
        <v>0.09</v>
      </c>
      <c r="K130" t="s">
        <v>6</v>
      </c>
      <c r="L130" t="s">
        <v>1811</v>
      </c>
      <c r="M130" t="s">
        <v>1812</v>
      </c>
      <c r="N130" t="s">
        <v>1813</v>
      </c>
      <c r="O130" t="s">
        <v>1814</v>
      </c>
      <c r="P130" t="s">
        <v>1815</v>
      </c>
    </row>
    <row r="131" spans="1:16">
      <c r="A131" t="b">
        <f t="shared" si="1"/>
        <v>0</v>
      </c>
      <c r="B131" s="1">
        <v>2013</v>
      </c>
      <c r="C131" t="s">
        <v>240</v>
      </c>
      <c r="D131" t="s">
        <v>407</v>
      </c>
      <c r="E131" s="13">
        <v>8000</v>
      </c>
      <c r="F131" s="15">
        <v>0.08</v>
      </c>
      <c r="G131" s="12">
        <v>44271</v>
      </c>
      <c r="H131">
        <v>95</v>
      </c>
      <c r="I131" s="13">
        <v>7600</v>
      </c>
      <c r="J131" s="15">
        <v>9.5000000000000001E-2</v>
      </c>
      <c r="K131" t="s">
        <v>6</v>
      </c>
      <c r="L131" t="s">
        <v>1811</v>
      </c>
      <c r="M131" t="s">
        <v>1812</v>
      </c>
      <c r="N131" t="s">
        <v>1813</v>
      </c>
      <c r="O131" t="s">
        <v>1814</v>
      </c>
      <c r="P131" t="s">
        <v>1815</v>
      </c>
    </row>
    <row r="132" spans="1:16">
      <c r="A132" t="b">
        <f t="shared" si="1"/>
        <v>1</v>
      </c>
      <c r="B132" s="1">
        <v>2013</v>
      </c>
      <c r="C132" t="s">
        <v>240</v>
      </c>
      <c r="D132" t="s">
        <v>407</v>
      </c>
      <c r="E132" s="13">
        <v>9000</v>
      </c>
      <c r="F132" s="15">
        <v>0.09</v>
      </c>
      <c r="G132" s="12">
        <v>43905</v>
      </c>
      <c r="H132" s="14">
        <v>1.1000000000000001</v>
      </c>
      <c r="I132" s="16">
        <f>E132*H132</f>
        <v>9900</v>
      </c>
      <c r="J132" s="14">
        <v>0.09</v>
      </c>
      <c r="K132" t="s">
        <v>6</v>
      </c>
      <c r="L132" t="s">
        <v>1811</v>
      </c>
      <c r="M132" t="s">
        <v>1812</v>
      </c>
      <c r="N132" t="s">
        <v>1813</v>
      </c>
      <c r="O132" t="s">
        <v>1814</v>
      </c>
      <c r="P132" t="s">
        <v>1815</v>
      </c>
    </row>
    <row r="133" spans="1:16">
      <c r="A133" t="b">
        <f t="shared" ref="A133:A140" si="2">ISEVEN(ROW())</f>
        <v>0</v>
      </c>
      <c r="B133" s="1">
        <v>2013</v>
      </c>
      <c r="C133" t="s">
        <v>240</v>
      </c>
      <c r="D133" t="s">
        <v>407</v>
      </c>
      <c r="E133" s="13">
        <v>8000</v>
      </c>
      <c r="F133" s="15">
        <v>0.08</v>
      </c>
      <c r="G133" s="12">
        <v>44271</v>
      </c>
      <c r="H133">
        <v>95</v>
      </c>
      <c r="I133" s="13">
        <v>7600</v>
      </c>
      <c r="J133" s="15">
        <v>9.5000000000000001E-2</v>
      </c>
      <c r="K133" t="s">
        <v>6</v>
      </c>
      <c r="L133" t="s">
        <v>1811</v>
      </c>
      <c r="M133" t="s">
        <v>1812</v>
      </c>
      <c r="N133" t="s">
        <v>1813</v>
      </c>
      <c r="O133" t="s">
        <v>1814</v>
      </c>
      <c r="P133" t="s">
        <v>1815</v>
      </c>
    </row>
    <row r="134" spans="1:16">
      <c r="A134" t="b">
        <f t="shared" si="2"/>
        <v>1</v>
      </c>
      <c r="B134" s="1">
        <v>2013</v>
      </c>
      <c r="C134" t="s">
        <v>240</v>
      </c>
      <c r="D134" t="s">
        <v>407</v>
      </c>
      <c r="E134" s="13">
        <v>9000</v>
      </c>
      <c r="F134" s="15">
        <v>0.09</v>
      </c>
      <c r="G134" s="12">
        <v>43905</v>
      </c>
      <c r="H134" s="14">
        <v>1.1000000000000001</v>
      </c>
      <c r="I134" s="16">
        <f>E134*H134</f>
        <v>9900</v>
      </c>
      <c r="J134" s="14">
        <v>0.09</v>
      </c>
      <c r="K134" t="s">
        <v>6</v>
      </c>
      <c r="L134" t="s">
        <v>1811</v>
      </c>
      <c r="M134" t="s">
        <v>1812</v>
      </c>
      <c r="N134" t="s">
        <v>1813</v>
      </c>
      <c r="O134" t="s">
        <v>1814</v>
      </c>
      <c r="P134" t="s">
        <v>1815</v>
      </c>
    </row>
    <row r="135" spans="1:16">
      <c r="A135" t="b">
        <f t="shared" si="2"/>
        <v>0</v>
      </c>
      <c r="B135" s="1">
        <v>2166</v>
      </c>
      <c r="C135" t="s">
        <v>382</v>
      </c>
      <c r="D135" t="s">
        <v>407</v>
      </c>
      <c r="E135" s="13">
        <v>8000</v>
      </c>
      <c r="F135" s="15">
        <v>0.08</v>
      </c>
      <c r="G135" s="12">
        <v>44271</v>
      </c>
      <c r="H135">
        <v>95</v>
      </c>
      <c r="I135" s="13">
        <v>7600</v>
      </c>
      <c r="J135" s="15">
        <v>9.5000000000000001E-2</v>
      </c>
      <c r="K135" t="s">
        <v>6</v>
      </c>
      <c r="L135" t="s">
        <v>1811</v>
      </c>
      <c r="M135" t="s">
        <v>1812</v>
      </c>
      <c r="N135" t="s">
        <v>1813</v>
      </c>
      <c r="O135" t="s">
        <v>1814</v>
      </c>
      <c r="P135" t="s">
        <v>1815</v>
      </c>
    </row>
    <row r="136" spans="1:16">
      <c r="A136" t="b">
        <f t="shared" si="2"/>
        <v>1</v>
      </c>
      <c r="B136" s="1">
        <v>2166</v>
      </c>
      <c r="C136" t="s">
        <v>382</v>
      </c>
      <c r="D136" t="s">
        <v>407</v>
      </c>
      <c r="E136" s="13">
        <v>9000</v>
      </c>
      <c r="F136" s="15">
        <v>0.09</v>
      </c>
      <c r="G136" s="12">
        <v>43905</v>
      </c>
      <c r="H136" s="14">
        <v>1.1000000000000001</v>
      </c>
      <c r="I136" s="16">
        <f>E136*H136</f>
        <v>9900</v>
      </c>
      <c r="J136" s="14">
        <v>0.09</v>
      </c>
      <c r="K136" t="s">
        <v>6</v>
      </c>
      <c r="L136" t="s">
        <v>1811</v>
      </c>
      <c r="M136" t="s">
        <v>1812</v>
      </c>
      <c r="N136" t="s">
        <v>1813</v>
      </c>
      <c r="O136" t="s">
        <v>1814</v>
      </c>
      <c r="P136" t="s">
        <v>1815</v>
      </c>
    </row>
    <row r="137" spans="1:16">
      <c r="A137" t="b">
        <f t="shared" si="2"/>
        <v>0</v>
      </c>
      <c r="B137" s="1">
        <v>2167</v>
      </c>
      <c r="C137" t="s">
        <v>378</v>
      </c>
      <c r="D137" t="s">
        <v>407</v>
      </c>
      <c r="E137" s="13">
        <v>8000</v>
      </c>
      <c r="F137" s="15">
        <v>0.08</v>
      </c>
      <c r="G137" s="12">
        <v>44271</v>
      </c>
      <c r="H137">
        <v>95</v>
      </c>
      <c r="I137" s="13">
        <v>7600</v>
      </c>
      <c r="J137" s="15">
        <v>9.5000000000000001E-2</v>
      </c>
      <c r="K137" t="s">
        <v>6</v>
      </c>
      <c r="L137" t="s">
        <v>1811</v>
      </c>
      <c r="M137" t="s">
        <v>1812</v>
      </c>
      <c r="N137" t="s">
        <v>1813</v>
      </c>
      <c r="O137" t="s">
        <v>1814</v>
      </c>
      <c r="P137" t="s">
        <v>1815</v>
      </c>
    </row>
    <row r="138" spans="1:16">
      <c r="A138" t="b">
        <f t="shared" si="2"/>
        <v>1</v>
      </c>
      <c r="B138" s="1">
        <v>2167</v>
      </c>
      <c r="C138" t="s">
        <v>378</v>
      </c>
      <c r="D138" t="s">
        <v>407</v>
      </c>
      <c r="E138" s="13">
        <v>9000</v>
      </c>
      <c r="F138" s="15">
        <v>0.09</v>
      </c>
      <c r="G138" s="12">
        <v>43905</v>
      </c>
      <c r="H138" s="14">
        <v>1.1000000000000001</v>
      </c>
      <c r="I138" s="16">
        <f>E138*H138</f>
        <v>9900</v>
      </c>
      <c r="J138" s="14">
        <v>0.09</v>
      </c>
      <c r="K138" t="s">
        <v>6</v>
      </c>
      <c r="L138" t="s">
        <v>1811</v>
      </c>
      <c r="M138" t="s">
        <v>1812</v>
      </c>
      <c r="N138" t="s">
        <v>1813</v>
      </c>
      <c r="O138" t="s">
        <v>1814</v>
      </c>
      <c r="P138" t="s">
        <v>1815</v>
      </c>
    </row>
    <row r="139" spans="1:16">
      <c r="A139" t="b">
        <f t="shared" si="2"/>
        <v>0</v>
      </c>
      <c r="B139" s="1">
        <v>2168</v>
      </c>
      <c r="C139" t="s">
        <v>375</v>
      </c>
      <c r="D139" t="s">
        <v>407</v>
      </c>
      <c r="E139" s="13">
        <v>8000</v>
      </c>
      <c r="F139" s="15">
        <v>0.08</v>
      </c>
      <c r="G139" s="12">
        <v>44271</v>
      </c>
      <c r="H139">
        <v>95</v>
      </c>
      <c r="I139" s="13">
        <v>7600</v>
      </c>
      <c r="J139" s="15">
        <v>9.5000000000000001E-2</v>
      </c>
      <c r="K139" t="s">
        <v>6</v>
      </c>
      <c r="L139" t="s">
        <v>1811</v>
      </c>
      <c r="M139" t="s">
        <v>1812</v>
      </c>
      <c r="N139" t="s">
        <v>1813</v>
      </c>
      <c r="O139" t="s">
        <v>1814</v>
      </c>
      <c r="P139" t="s">
        <v>1815</v>
      </c>
    </row>
    <row r="140" spans="1:16">
      <c r="A140" t="b">
        <f t="shared" si="2"/>
        <v>1</v>
      </c>
      <c r="B140" s="1">
        <v>2168</v>
      </c>
      <c r="C140" t="s">
        <v>375</v>
      </c>
      <c r="D140" t="s">
        <v>407</v>
      </c>
      <c r="E140" s="13">
        <v>9000</v>
      </c>
      <c r="F140" s="15">
        <v>0.09</v>
      </c>
      <c r="G140" s="12">
        <v>43905</v>
      </c>
      <c r="H140" s="14">
        <v>1.1000000000000001</v>
      </c>
      <c r="I140" s="16">
        <f>E140*H140</f>
        <v>9900</v>
      </c>
      <c r="J140" s="14">
        <v>0.09</v>
      </c>
      <c r="K140" t="s">
        <v>6</v>
      </c>
      <c r="L140" t="s">
        <v>1811</v>
      </c>
      <c r="M140" t="s">
        <v>1812</v>
      </c>
      <c r="N140" t="s">
        <v>1813</v>
      </c>
      <c r="O140" t="s">
        <v>1814</v>
      </c>
      <c r="P140" t="s">
        <v>1815</v>
      </c>
    </row>
  </sheetData>
  <autoFilter ref="A1:P140" xr:uid="{B49BED69-D8B4-420F-9F16-3155E40AFC0C}"/>
  <phoneticPr fontId="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7DE9-B098-4E47-9798-1A6B43907D64}">
  <dimension ref="A1:K74"/>
  <sheetViews>
    <sheetView topLeftCell="A17" workbookViewId="0">
      <selection activeCell="B1" sqref="B1"/>
    </sheetView>
  </sheetViews>
  <sheetFormatPr defaultRowHeight="14.45"/>
  <cols>
    <col min="1" max="1" width="11.140625" bestFit="1" customWidth="1"/>
    <col min="2" max="2" width="17.28515625" bestFit="1" customWidth="1"/>
    <col min="3" max="3" width="12.5703125" bestFit="1" customWidth="1"/>
    <col min="4" max="4" width="12.5703125" customWidth="1"/>
    <col min="5" max="5" width="12.42578125" customWidth="1"/>
    <col min="6" max="6" width="12.42578125" bestFit="1" customWidth="1"/>
    <col min="7" max="7" width="14" style="12" bestFit="1" customWidth="1"/>
    <col min="8" max="8" width="16.140625" bestFit="1" customWidth="1"/>
    <col min="9" max="9" width="14" customWidth="1"/>
    <col min="10" max="10" width="13" bestFit="1" customWidth="1"/>
    <col min="11" max="11" width="18" bestFit="1" customWidth="1"/>
  </cols>
  <sheetData>
    <row r="1" spans="1:11">
      <c r="A1" t="s">
        <v>129</v>
      </c>
      <c r="B1" t="s">
        <v>130</v>
      </c>
      <c r="C1" t="s">
        <v>422</v>
      </c>
      <c r="D1" t="s">
        <v>423</v>
      </c>
      <c r="E1" t="s">
        <v>0</v>
      </c>
      <c r="F1" s="12" t="s">
        <v>1816</v>
      </c>
      <c r="G1" t="s">
        <v>428</v>
      </c>
      <c r="H1" s="23" t="s">
        <v>1817</v>
      </c>
      <c r="I1" s="23" t="s">
        <v>1818</v>
      </c>
      <c r="J1" t="s">
        <v>426</v>
      </c>
      <c r="K1" t="s">
        <v>1819</v>
      </c>
    </row>
    <row r="2" spans="1:11">
      <c r="A2" s="1">
        <v>59</v>
      </c>
      <c r="B2" t="s">
        <v>1820</v>
      </c>
      <c r="C2" s="1" t="s">
        <v>440</v>
      </c>
      <c r="D2" s="18">
        <v>30930</v>
      </c>
      <c r="E2" t="s">
        <v>6</v>
      </c>
      <c r="F2" s="2">
        <v>42809</v>
      </c>
      <c r="G2" s="19">
        <v>3093</v>
      </c>
      <c r="H2" s="20">
        <f t="shared" ref="H2:H68" si="0">INT(G2/I2)</f>
        <v>140</v>
      </c>
      <c r="I2" s="21">
        <v>22</v>
      </c>
      <c r="J2" s="22">
        <f>K2/D2</f>
        <v>9.9579696087940511E-2</v>
      </c>
      <c r="K2" s="19">
        <f>H2*I2</f>
        <v>3080</v>
      </c>
    </row>
    <row r="3" spans="1:11">
      <c r="A3" s="1">
        <v>59</v>
      </c>
      <c r="B3" t="s">
        <v>340</v>
      </c>
      <c r="C3" s="1" t="s">
        <v>1821</v>
      </c>
      <c r="D3" s="18">
        <v>30930</v>
      </c>
      <c r="E3" t="s">
        <v>6</v>
      </c>
      <c r="F3" s="2">
        <v>42809</v>
      </c>
      <c r="G3" s="19">
        <v>3093</v>
      </c>
      <c r="H3" s="20">
        <f t="shared" ref="H3" si="1">INT(G3/I3)</f>
        <v>140</v>
      </c>
      <c r="I3" s="21">
        <v>22</v>
      </c>
      <c r="J3" s="22">
        <f>K3/D3</f>
        <v>9.9579696087940511E-2</v>
      </c>
      <c r="K3" s="19">
        <f>H3*I3</f>
        <v>3080</v>
      </c>
    </row>
    <row r="4" spans="1:11">
      <c r="A4" s="1">
        <v>59</v>
      </c>
      <c r="B4" t="s">
        <v>340</v>
      </c>
      <c r="C4" s="1" t="s">
        <v>1821</v>
      </c>
      <c r="D4" s="18">
        <v>30930</v>
      </c>
      <c r="E4" t="s">
        <v>6</v>
      </c>
      <c r="F4" s="2">
        <v>43174</v>
      </c>
      <c r="G4" s="19">
        <v>3093</v>
      </c>
      <c r="H4" s="20">
        <f t="shared" ref="H4" si="2">INT(G4/I4)</f>
        <v>140</v>
      </c>
      <c r="I4" s="21">
        <v>22</v>
      </c>
      <c r="J4" s="22">
        <f>K4/D4</f>
        <v>9.9579696087940511E-2</v>
      </c>
      <c r="K4" s="19">
        <f>H4*I4</f>
        <v>3080</v>
      </c>
    </row>
    <row r="5" spans="1:11">
      <c r="A5" s="1">
        <v>59</v>
      </c>
      <c r="B5" t="s">
        <v>340</v>
      </c>
      <c r="C5" s="1" t="s">
        <v>1821</v>
      </c>
      <c r="D5" s="18">
        <v>30930</v>
      </c>
      <c r="E5" t="s">
        <v>6</v>
      </c>
      <c r="F5" s="2">
        <v>42809</v>
      </c>
      <c r="G5" s="19">
        <v>3093</v>
      </c>
      <c r="H5" s="20">
        <f t="shared" ref="H5" si="3">INT(G5/I5)</f>
        <v>140</v>
      </c>
      <c r="I5" s="21">
        <v>22</v>
      </c>
      <c r="J5" s="22">
        <f>K5/D5</f>
        <v>9.9579696087940511E-2</v>
      </c>
      <c r="K5" s="19">
        <f>H5*I5</f>
        <v>3080</v>
      </c>
    </row>
    <row r="6" spans="1:11">
      <c r="A6" s="1">
        <v>70</v>
      </c>
      <c r="B6" t="s">
        <v>336</v>
      </c>
      <c r="C6" s="1" t="s">
        <v>1821</v>
      </c>
      <c r="D6" s="18">
        <v>28750</v>
      </c>
      <c r="E6" t="s">
        <v>6</v>
      </c>
      <c r="F6" s="2">
        <v>42809</v>
      </c>
      <c r="G6" s="19">
        <v>2875</v>
      </c>
      <c r="H6" s="20">
        <f t="shared" si="0"/>
        <v>130</v>
      </c>
      <c r="I6" s="21">
        <v>22</v>
      </c>
      <c r="J6" s="22">
        <f t="shared" ref="J6:J69" si="4">K6/D6</f>
        <v>9.9478260869565224E-2</v>
      </c>
      <c r="K6" s="19">
        <f t="shared" ref="K6:K69" si="5">H6*I6</f>
        <v>2860</v>
      </c>
    </row>
    <row r="7" spans="1:11">
      <c r="A7" s="1">
        <v>72</v>
      </c>
      <c r="B7" t="s">
        <v>319</v>
      </c>
      <c r="C7" s="1" t="s">
        <v>440</v>
      </c>
      <c r="D7" s="18">
        <v>38015</v>
      </c>
      <c r="E7" t="s">
        <v>6</v>
      </c>
      <c r="F7" s="2">
        <v>42809</v>
      </c>
      <c r="G7" s="19">
        <v>7603</v>
      </c>
      <c r="H7" s="20">
        <f t="shared" si="0"/>
        <v>345</v>
      </c>
      <c r="I7" s="21">
        <v>22</v>
      </c>
      <c r="J7" s="22">
        <f t="shared" si="4"/>
        <v>0.19965802972510852</v>
      </c>
      <c r="K7" s="19">
        <f t="shared" si="5"/>
        <v>7590</v>
      </c>
    </row>
    <row r="8" spans="1:11">
      <c r="A8" s="1">
        <v>73</v>
      </c>
      <c r="B8" t="s">
        <v>253</v>
      </c>
      <c r="C8" s="1" t="s">
        <v>440</v>
      </c>
      <c r="D8" s="18">
        <v>11030</v>
      </c>
      <c r="E8" t="s">
        <v>6</v>
      </c>
      <c r="F8" s="2">
        <v>42809</v>
      </c>
      <c r="G8" s="19">
        <v>2206</v>
      </c>
      <c r="H8" s="20">
        <f t="shared" si="0"/>
        <v>100</v>
      </c>
      <c r="I8" s="21">
        <v>22</v>
      </c>
      <c r="J8" s="22">
        <f t="shared" si="4"/>
        <v>0.19945602901178605</v>
      </c>
      <c r="K8" s="19">
        <f t="shared" si="5"/>
        <v>2200</v>
      </c>
    </row>
    <row r="9" spans="1:11">
      <c r="A9" s="1">
        <v>73</v>
      </c>
      <c r="B9" t="s">
        <v>253</v>
      </c>
      <c r="C9" s="1" t="s">
        <v>440</v>
      </c>
      <c r="D9" s="18">
        <v>11030</v>
      </c>
      <c r="E9" t="s">
        <v>6</v>
      </c>
      <c r="F9" s="2">
        <v>43174</v>
      </c>
      <c r="G9" s="19">
        <v>2206</v>
      </c>
      <c r="H9" s="20">
        <f t="shared" si="0"/>
        <v>100</v>
      </c>
      <c r="I9" s="21">
        <v>22</v>
      </c>
      <c r="J9" s="22">
        <f t="shared" si="4"/>
        <v>0.19945602901178605</v>
      </c>
      <c r="K9" s="19">
        <f t="shared" si="5"/>
        <v>2200</v>
      </c>
    </row>
    <row r="10" spans="1:11">
      <c r="A10" s="1">
        <v>80</v>
      </c>
      <c r="B10" t="s">
        <v>174</v>
      </c>
      <c r="C10" s="1" t="s">
        <v>440</v>
      </c>
      <c r="D10" s="18">
        <v>13810</v>
      </c>
      <c r="E10" t="s">
        <v>6</v>
      </c>
      <c r="F10" s="2">
        <v>42809</v>
      </c>
      <c r="G10" s="19">
        <v>1381</v>
      </c>
      <c r="H10" s="20">
        <f t="shared" si="0"/>
        <v>62</v>
      </c>
      <c r="I10" s="21">
        <v>22</v>
      </c>
      <c r="J10" s="22">
        <f t="shared" si="4"/>
        <v>9.8769007965242572E-2</v>
      </c>
      <c r="K10" s="19">
        <f t="shared" si="5"/>
        <v>1364</v>
      </c>
    </row>
    <row r="11" spans="1:11">
      <c r="A11" s="1">
        <v>86</v>
      </c>
      <c r="B11" t="s">
        <v>310</v>
      </c>
      <c r="C11" s="1" t="s">
        <v>440</v>
      </c>
      <c r="D11" s="18">
        <v>17220</v>
      </c>
      <c r="E11" t="s">
        <v>6</v>
      </c>
      <c r="F11" s="2">
        <v>42809</v>
      </c>
      <c r="G11" s="19">
        <v>3444</v>
      </c>
      <c r="H11" s="20">
        <f t="shared" si="0"/>
        <v>156</v>
      </c>
      <c r="I11" s="21">
        <v>22</v>
      </c>
      <c r="J11" s="22">
        <f t="shared" si="4"/>
        <v>0.19930313588850174</v>
      </c>
      <c r="K11" s="19">
        <f t="shared" si="5"/>
        <v>3432</v>
      </c>
    </row>
    <row r="12" spans="1:11">
      <c r="A12" s="1">
        <v>88</v>
      </c>
      <c r="B12" t="s">
        <v>261</v>
      </c>
      <c r="C12" s="1" t="s">
        <v>440</v>
      </c>
      <c r="D12" s="18">
        <v>27720</v>
      </c>
      <c r="E12" t="s">
        <v>6</v>
      </c>
      <c r="F12" s="2">
        <v>42809</v>
      </c>
      <c r="G12" s="19">
        <v>2772</v>
      </c>
      <c r="H12" s="20">
        <f t="shared" si="0"/>
        <v>126</v>
      </c>
      <c r="I12" s="21">
        <v>22</v>
      </c>
      <c r="J12" s="22">
        <f t="shared" si="4"/>
        <v>0.1</v>
      </c>
      <c r="K12" s="19">
        <f t="shared" si="5"/>
        <v>2772</v>
      </c>
    </row>
    <row r="13" spans="1:11">
      <c r="A13" s="1">
        <v>88</v>
      </c>
      <c r="B13" t="s">
        <v>261</v>
      </c>
      <c r="C13" s="1" t="s">
        <v>440</v>
      </c>
      <c r="D13" s="18">
        <v>27720</v>
      </c>
      <c r="E13" t="s">
        <v>6</v>
      </c>
      <c r="F13" s="2">
        <v>43174</v>
      </c>
      <c r="G13" s="19">
        <v>2772</v>
      </c>
      <c r="H13" s="20">
        <f t="shared" si="0"/>
        <v>126</v>
      </c>
      <c r="I13" s="21">
        <v>22</v>
      </c>
      <c r="J13" s="22">
        <f t="shared" si="4"/>
        <v>0.1</v>
      </c>
      <c r="K13" s="19">
        <f t="shared" si="5"/>
        <v>2772</v>
      </c>
    </row>
    <row r="14" spans="1:11">
      <c r="A14" s="1">
        <v>89</v>
      </c>
      <c r="B14" t="s">
        <v>315</v>
      </c>
      <c r="C14" s="1" t="s">
        <v>440</v>
      </c>
      <c r="D14" s="18">
        <v>34820</v>
      </c>
      <c r="E14" t="s">
        <v>6</v>
      </c>
      <c r="F14" s="2">
        <v>42809</v>
      </c>
      <c r="G14" s="19">
        <v>3482</v>
      </c>
      <c r="H14" s="20">
        <f t="shared" si="0"/>
        <v>158</v>
      </c>
      <c r="I14" s="21">
        <v>22</v>
      </c>
      <c r="J14" s="22">
        <f t="shared" si="4"/>
        <v>9.9827685238368755E-2</v>
      </c>
      <c r="K14" s="19">
        <f t="shared" si="5"/>
        <v>3476</v>
      </c>
    </row>
    <row r="15" spans="1:11">
      <c r="A15" s="1">
        <v>91</v>
      </c>
      <c r="B15" t="s">
        <v>265</v>
      </c>
      <c r="C15" s="1" t="s">
        <v>440</v>
      </c>
      <c r="D15" s="18">
        <v>17500</v>
      </c>
      <c r="E15" t="s">
        <v>6</v>
      </c>
      <c r="F15" s="2">
        <v>42809</v>
      </c>
      <c r="G15" s="19">
        <v>1750</v>
      </c>
      <c r="H15" s="20">
        <f t="shared" si="0"/>
        <v>79</v>
      </c>
      <c r="I15" s="21">
        <v>22</v>
      </c>
      <c r="J15" s="22">
        <f t="shared" si="4"/>
        <v>9.9314285714285716E-2</v>
      </c>
      <c r="K15" s="19">
        <f t="shared" si="5"/>
        <v>1738</v>
      </c>
    </row>
    <row r="16" spans="1:11">
      <c r="A16" s="1">
        <v>91</v>
      </c>
      <c r="B16" t="s">
        <v>265</v>
      </c>
      <c r="C16" s="1" t="s">
        <v>440</v>
      </c>
      <c r="D16" s="18">
        <v>17500</v>
      </c>
      <c r="E16" t="s">
        <v>6</v>
      </c>
      <c r="F16" s="2">
        <v>43174</v>
      </c>
      <c r="G16" s="19">
        <v>1750</v>
      </c>
      <c r="H16" s="20">
        <f t="shared" si="0"/>
        <v>79</v>
      </c>
      <c r="I16" s="21">
        <v>22</v>
      </c>
      <c r="J16" s="22">
        <f t="shared" si="4"/>
        <v>9.9314285714285716E-2</v>
      </c>
      <c r="K16" s="19">
        <f t="shared" si="5"/>
        <v>1738</v>
      </c>
    </row>
    <row r="17" spans="1:11">
      <c r="A17" s="1">
        <v>92</v>
      </c>
      <c r="B17" t="s">
        <v>269</v>
      </c>
      <c r="C17" s="1" t="s">
        <v>440</v>
      </c>
      <c r="D17" s="18">
        <v>24830</v>
      </c>
      <c r="E17" t="s">
        <v>6</v>
      </c>
      <c r="F17" s="2">
        <v>42809</v>
      </c>
      <c r="G17" s="19">
        <v>2483</v>
      </c>
      <c r="H17" s="20">
        <f t="shared" si="0"/>
        <v>112</v>
      </c>
      <c r="I17" s="21">
        <v>22</v>
      </c>
      <c r="J17" s="22">
        <f t="shared" si="4"/>
        <v>9.9234796616995566E-2</v>
      </c>
      <c r="K17" s="19">
        <f t="shared" si="5"/>
        <v>2464</v>
      </c>
    </row>
    <row r="18" spans="1:11">
      <c r="A18" s="1">
        <v>92</v>
      </c>
      <c r="B18" t="s">
        <v>269</v>
      </c>
      <c r="C18" s="1" t="s">
        <v>440</v>
      </c>
      <c r="D18" s="18">
        <v>24830</v>
      </c>
      <c r="E18" t="s">
        <v>6</v>
      </c>
      <c r="F18" s="2">
        <v>43174</v>
      </c>
      <c r="G18" s="19">
        <v>2483</v>
      </c>
      <c r="H18" s="20">
        <f t="shared" si="0"/>
        <v>112</v>
      </c>
      <c r="I18" s="21">
        <v>22</v>
      </c>
      <c r="J18" s="22">
        <f t="shared" si="4"/>
        <v>9.9234796616995566E-2</v>
      </c>
      <c r="K18" s="19">
        <f t="shared" si="5"/>
        <v>2464</v>
      </c>
    </row>
    <row r="19" spans="1:11">
      <c r="A19" s="1">
        <v>93</v>
      </c>
      <c r="B19" t="s">
        <v>294</v>
      </c>
      <c r="C19" s="1" t="s">
        <v>440</v>
      </c>
      <c r="D19" s="18">
        <v>188600</v>
      </c>
      <c r="E19" t="s">
        <v>6</v>
      </c>
      <c r="F19" s="2">
        <v>42809</v>
      </c>
      <c r="G19" s="19">
        <v>18860</v>
      </c>
      <c r="H19" s="20">
        <f t="shared" si="0"/>
        <v>857</v>
      </c>
      <c r="I19" s="21">
        <v>22</v>
      </c>
      <c r="J19" s="22">
        <f t="shared" si="4"/>
        <v>9.9968186638388121E-2</v>
      </c>
      <c r="K19" s="19">
        <f t="shared" si="5"/>
        <v>18854</v>
      </c>
    </row>
    <row r="20" spans="1:11">
      <c r="A20" s="1">
        <v>94</v>
      </c>
      <c r="B20" t="s">
        <v>246</v>
      </c>
      <c r="C20" s="1" t="s">
        <v>440</v>
      </c>
      <c r="D20" s="18">
        <v>43777.777777777774</v>
      </c>
      <c r="E20" t="s">
        <v>6</v>
      </c>
      <c r="F20" s="2">
        <v>42809</v>
      </c>
      <c r="G20" s="19">
        <v>19700</v>
      </c>
      <c r="H20" s="20">
        <f t="shared" si="0"/>
        <v>895</v>
      </c>
      <c r="I20" s="21">
        <v>22</v>
      </c>
      <c r="J20" s="22">
        <f t="shared" si="4"/>
        <v>0.44977157360406095</v>
      </c>
      <c r="K20" s="19">
        <f t="shared" si="5"/>
        <v>19690</v>
      </c>
    </row>
    <row r="21" spans="1:11">
      <c r="A21" s="1">
        <v>94</v>
      </c>
      <c r="B21" t="s">
        <v>246</v>
      </c>
      <c r="C21" s="1" t="s">
        <v>440</v>
      </c>
      <c r="D21" s="18">
        <v>43777.777777777774</v>
      </c>
      <c r="E21" t="s">
        <v>6</v>
      </c>
      <c r="F21" s="2">
        <v>43174</v>
      </c>
      <c r="G21" s="19">
        <v>19700</v>
      </c>
      <c r="H21" s="20">
        <f t="shared" si="0"/>
        <v>895</v>
      </c>
      <c r="I21" s="21">
        <v>22</v>
      </c>
      <c r="J21" s="22">
        <f t="shared" si="4"/>
        <v>0.44977157360406095</v>
      </c>
      <c r="K21" s="19">
        <f t="shared" si="5"/>
        <v>19690</v>
      </c>
    </row>
    <row r="22" spans="1:11">
      <c r="A22" s="1">
        <v>95</v>
      </c>
      <c r="B22" t="s">
        <v>281</v>
      </c>
      <c r="C22" s="1" t="s">
        <v>440</v>
      </c>
      <c r="D22" s="18">
        <v>13580</v>
      </c>
      <c r="E22" t="s">
        <v>6</v>
      </c>
      <c r="F22" s="2">
        <v>42809</v>
      </c>
      <c r="G22" s="19">
        <v>1358</v>
      </c>
      <c r="H22" s="20">
        <f t="shared" si="0"/>
        <v>61</v>
      </c>
      <c r="I22" s="21">
        <v>22</v>
      </c>
      <c r="J22" s="22">
        <f t="shared" si="4"/>
        <v>9.8821796759941086E-2</v>
      </c>
      <c r="K22" s="19">
        <f t="shared" si="5"/>
        <v>1342</v>
      </c>
    </row>
    <row r="23" spans="1:11">
      <c r="A23" s="1">
        <v>100</v>
      </c>
      <c r="B23" t="s">
        <v>302</v>
      </c>
      <c r="C23" s="1" t="s">
        <v>440</v>
      </c>
      <c r="D23" s="18">
        <v>15310</v>
      </c>
      <c r="E23" t="s">
        <v>6</v>
      </c>
      <c r="F23" s="2">
        <v>42809</v>
      </c>
      <c r="G23" s="19">
        <v>1531</v>
      </c>
      <c r="H23" s="20">
        <f t="shared" si="0"/>
        <v>69</v>
      </c>
      <c r="I23" s="21">
        <v>22</v>
      </c>
      <c r="J23" s="22">
        <f t="shared" si="4"/>
        <v>9.9150881776616587E-2</v>
      </c>
      <c r="K23" s="19">
        <f t="shared" si="5"/>
        <v>1518</v>
      </c>
    </row>
    <row r="24" spans="1:11">
      <c r="A24" s="1">
        <v>101</v>
      </c>
      <c r="B24" t="s">
        <v>298</v>
      </c>
      <c r="C24" s="1" t="s">
        <v>440</v>
      </c>
      <c r="D24" s="18">
        <v>13640</v>
      </c>
      <c r="E24" t="s">
        <v>6</v>
      </c>
      <c r="F24" s="2">
        <v>42809</v>
      </c>
      <c r="G24" s="19">
        <v>1364</v>
      </c>
      <c r="H24" s="20">
        <f t="shared" si="0"/>
        <v>62</v>
      </c>
      <c r="I24" s="21">
        <v>22</v>
      </c>
      <c r="J24" s="22">
        <f t="shared" si="4"/>
        <v>0.1</v>
      </c>
      <c r="K24" s="19">
        <f t="shared" si="5"/>
        <v>1364</v>
      </c>
    </row>
    <row r="25" spans="1:11">
      <c r="A25" s="1">
        <v>104</v>
      </c>
      <c r="B25" t="s">
        <v>306</v>
      </c>
      <c r="C25" s="1" t="s">
        <v>440</v>
      </c>
      <c r="D25" s="18">
        <v>14820</v>
      </c>
      <c r="E25" t="s">
        <v>6</v>
      </c>
      <c r="F25" s="2">
        <v>42809</v>
      </c>
      <c r="G25" s="19">
        <v>1482</v>
      </c>
      <c r="H25" s="20">
        <f t="shared" si="0"/>
        <v>67</v>
      </c>
      <c r="I25" s="21">
        <v>22</v>
      </c>
      <c r="J25" s="22">
        <f t="shared" si="4"/>
        <v>9.946018893387315E-2</v>
      </c>
      <c r="K25" s="19">
        <f t="shared" si="5"/>
        <v>1474</v>
      </c>
    </row>
    <row r="26" spans="1:11">
      <c r="A26" s="1">
        <v>110</v>
      </c>
      <c r="B26" t="s">
        <v>277</v>
      </c>
      <c r="C26" s="1" t="s">
        <v>440</v>
      </c>
      <c r="D26" s="18">
        <v>11480</v>
      </c>
      <c r="E26" t="s">
        <v>6</v>
      </c>
      <c r="F26" s="2">
        <v>42809</v>
      </c>
      <c r="G26" s="19">
        <v>1148</v>
      </c>
      <c r="H26" s="20">
        <f t="shared" si="0"/>
        <v>52</v>
      </c>
      <c r="I26" s="21">
        <v>22</v>
      </c>
      <c r="J26" s="22">
        <f t="shared" si="4"/>
        <v>9.9651567944250868E-2</v>
      </c>
      <c r="K26" s="19">
        <f t="shared" si="5"/>
        <v>1144</v>
      </c>
    </row>
    <row r="27" spans="1:11">
      <c r="A27" s="1">
        <v>111</v>
      </c>
      <c r="B27" t="s">
        <v>273</v>
      </c>
      <c r="C27" s="1" t="s">
        <v>440</v>
      </c>
      <c r="D27" s="18">
        <v>16400</v>
      </c>
      <c r="E27" t="s">
        <v>6</v>
      </c>
      <c r="F27" s="2">
        <v>42809</v>
      </c>
      <c r="G27" s="19">
        <v>1640</v>
      </c>
      <c r="H27" s="20">
        <f t="shared" si="0"/>
        <v>74</v>
      </c>
      <c r="I27" s="21">
        <v>22</v>
      </c>
      <c r="J27" s="22">
        <f t="shared" si="4"/>
        <v>9.9268292682926834E-2</v>
      </c>
      <c r="K27" s="19">
        <f t="shared" si="5"/>
        <v>1628</v>
      </c>
    </row>
    <row r="28" spans="1:11">
      <c r="A28" s="1">
        <v>115</v>
      </c>
      <c r="B28" t="s">
        <v>290</v>
      </c>
      <c r="C28" s="1" t="s">
        <v>1821</v>
      </c>
      <c r="D28" s="18">
        <v>62670</v>
      </c>
      <c r="E28" t="s">
        <v>6</v>
      </c>
      <c r="F28" s="2">
        <v>42809</v>
      </c>
      <c r="G28" s="19">
        <v>6267</v>
      </c>
      <c r="H28" s="20">
        <f t="shared" si="0"/>
        <v>284</v>
      </c>
      <c r="I28" s="21">
        <v>22</v>
      </c>
      <c r="J28" s="22">
        <f t="shared" si="4"/>
        <v>9.9696824636987397E-2</v>
      </c>
      <c r="K28" s="19">
        <f t="shared" si="5"/>
        <v>6248</v>
      </c>
    </row>
    <row r="29" spans="1:11">
      <c r="A29" s="1">
        <v>161</v>
      </c>
      <c r="B29" t="s">
        <v>364</v>
      </c>
      <c r="C29" s="1" t="s">
        <v>1821</v>
      </c>
      <c r="D29" s="18">
        <v>73600</v>
      </c>
      <c r="E29" t="s">
        <v>9</v>
      </c>
      <c r="F29" s="2">
        <v>42809</v>
      </c>
      <c r="G29" s="19">
        <v>8832</v>
      </c>
      <c r="H29" s="20">
        <f t="shared" si="0"/>
        <v>401</v>
      </c>
      <c r="I29" s="21">
        <v>22</v>
      </c>
      <c r="J29" s="22">
        <f t="shared" si="4"/>
        <v>0.11986413043478261</v>
      </c>
      <c r="K29" s="19">
        <f t="shared" si="5"/>
        <v>8822</v>
      </c>
    </row>
    <row r="30" spans="1:11">
      <c r="A30" s="1">
        <v>162</v>
      </c>
      <c r="B30" t="s">
        <v>324</v>
      </c>
      <c r="C30" s="1" t="s">
        <v>1821</v>
      </c>
      <c r="D30" s="18">
        <v>295791.76470588235</v>
      </c>
      <c r="E30" t="s">
        <v>6</v>
      </c>
      <c r="F30" s="2">
        <v>42809</v>
      </c>
      <c r="G30" s="19">
        <v>251423</v>
      </c>
      <c r="H30" s="20">
        <f t="shared" si="0"/>
        <v>11428</v>
      </c>
      <c r="I30" s="21">
        <v>22</v>
      </c>
      <c r="J30" s="22">
        <f t="shared" si="4"/>
        <v>0.84997633470287126</v>
      </c>
      <c r="K30" s="19">
        <f t="shared" si="5"/>
        <v>251416</v>
      </c>
    </row>
    <row r="31" spans="1:11">
      <c r="A31" s="1">
        <v>162</v>
      </c>
      <c r="B31" t="s">
        <v>324</v>
      </c>
      <c r="C31" s="1" t="s">
        <v>1821</v>
      </c>
      <c r="D31" s="18">
        <v>295791.76470588235</v>
      </c>
      <c r="E31" t="s">
        <v>6</v>
      </c>
      <c r="F31" s="2">
        <v>43174</v>
      </c>
      <c r="G31" s="19">
        <v>251423</v>
      </c>
      <c r="H31" s="20">
        <f t="shared" si="0"/>
        <v>11428</v>
      </c>
      <c r="I31" s="21">
        <v>22</v>
      </c>
      <c r="J31" s="22">
        <f t="shared" si="4"/>
        <v>0.84997633470287126</v>
      </c>
      <c r="K31" s="19">
        <f t="shared" si="5"/>
        <v>251416</v>
      </c>
    </row>
    <row r="32" spans="1:11">
      <c r="A32" s="1">
        <v>166</v>
      </c>
      <c r="B32" t="s">
        <v>366</v>
      </c>
      <c r="C32" s="1" t="s">
        <v>1821</v>
      </c>
      <c r="D32" s="18">
        <v>161498</v>
      </c>
      <c r="E32" t="s">
        <v>6</v>
      </c>
      <c r="F32" s="2">
        <v>42809</v>
      </c>
      <c r="G32" s="19">
        <v>80749</v>
      </c>
      <c r="H32" s="20">
        <f t="shared" si="0"/>
        <v>3670</v>
      </c>
      <c r="I32" s="21">
        <v>22</v>
      </c>
      <c r="J32" s="22">
        <f t="shared" si="4"/>
        <v>0.4999442717556874</v>
      </c>
      <c r="K32" s="19">
        <f t="shared" si="5"/>
        <v>80740</v>
      </c>
    </row>
    <row r="33" spans="1:11">
      <c r="A33" s="1">
        <v>167</v>
      </c>
      <c r="B33" t="s">
        <v>346</v>
      </c>
      <c r="C33" s="1" t="s">
        <v>1821</v>
      </c>
      <c r="D33" s="18">
        <v>11000</v>
      </c>
      <c r="E33" t="s">
        <v>6</v>
      </c>
      <c r="F33" s="2">
        <v>42809</v>
      </c>
      <c r="G33" s="19">
        <v>1100</v>
      </c>
      <c r="H33" s="20">
        <f t="shared" si="0"/>
        <v>50</v>
      </c>
      <c r="I33" s="21">
        <v>22</v>
      </c>
      <c r="J33" s="22">
        <f t="shared" si="4"/>
        <v>0.1</v>
      </c>
      <c r="K33" s="19">
        <f t="shared" si="5"/>
        <v>1100</v>
      </c>
    </row>
    <row r="34" spans="1:11">
      <c r="A34" s="1">
        <v>168</v>
      </c>
      <c r="B34" t="s">
        <v>348</v>
      </c>
      <c r="C34" s="1" t="s">
        <v>1821</v>
      </c>
      <c r="D34" s="18">
        <v>172235</v>
      </c>
      <c r="E34" t="s">
        <v>6</v>
      </c>
      <c r="F34" s="2">
        <v>42809</v>
      </c>
      <c r="G34" s="19">
        <v>34447</v>
      </c>
      <c r="H34" s="20">
        <f t="shared" si="0"/>
        <v>1565</v>
      </c>
      <c r="I34" s="21">
        <v>22</v>
      </c>
      <c r="J34" s="22">
        <f t="shared" si="4"/>
        <v>0.19990129764565856</v>
      </c>
      <c r="K34" s="19">
        <f t="shared" si="5"/>
        <v>34430</v>
      </c>
    </row>
    <row r="35" spans="1:11">
      <c r="A35" s="1">
        <v>170</v>
      </c>
      <c r="B35" t="s">
        <v>362</v>
      </c>
      <c r="C35" s="1" t="s">
        <v>1821</v>
      </c>
      <c r="D35" s="18">
        <v>78180</v>
      </c>
      <c r="E35" t="s">
        <v>6</v>
      </c>
      <c r="F35" s="2">
        <v>42809</v>
      </c>
      <c r="G35" s="19">
        <v>7818</v>
      </c>
      <c r="H35" s="20">
        <f t="shared" si="0"/>
        <v>355</v>
      </c>
      <c r="I35" s="21">
        <v>22</v>
      </c>
      <c r="J35" s="22">
        <f t="shared" si="4"/>
        <v>9.9897672038884625E-2</v>
      </c>
      <c r="K35" s="19">
        <f t="shared" si="5"/>
        <v>7810</v>
      </c>
    </row>
    <row r="36" spans="1:11">
      <c r="A36" s="1">
        <v>172</v>
      </c>
      <c r="B36" t="s">
        <v>359</v>
      </c>
      <c r="C36" s="1" t="s">
        <v>1821</v>
      </c>
      <c r="D36" s="18">
        <v>45640</v>
      </c>
      <c r="E36" t="s">
        <v>6</v>
      </c>
      <c r="F36" s="2">
        <v>42809</v>
      </c>
      <c r="G36" s="19">
        <v>4564</v>
      </c>
      <c r="H36" s="20">
        <f t="shared" si="0"/>
        <v>207</v>
      </c>
      <c r="I36" s="21">
        <v>22</v>
      </c>
      <c r="J36" s="22">
        <f t="shared" si="4"/>
        <v>9.9780893952673089E-2</v>
      </c>
      <c r="K36" s="19">
        <f t="shared" si="5"/>
        <v>4554</v>
      </c>
    </row>
    <row r="37" spans="1:11">
      <c r="A37" s="1">
        <v>174</v>
      </c>
      <c r="B37" t="s">
        <v>360</v>
      </c>
      <c r="C37" s="1" t="s">
        <v>1821</v>
      </c>
      <c r="D37" s="18">
        <v>28680</v>
      </c>
      <c r="E37" t="s">
        <v>6</v>
      </c>
      <c r="F37" s="2">
        <v>42809</v>
      </c>
      <c r="G37" s="19">
        <v>2868</v>
      </c>
      <c r="H37" s="20">
        <f t="shared" si="0"/>
        <v>130</v>
      </c>
      <c r="I37" s="21">
        <v>22</v>
      </c>
      <c r="J37" s="22">
        <f t="shared" si="4"/>
        <v>9.9721059972105994E-2</v>
      </c>
      <c r="K37" s="19">
        <f t="shared" si="5"/>
        <v>2860</v>
      </c>
    </row>
    <row r="38" spans="1:11">
      <c r="A38" s="1">
        <v>175</v>
      </c>
      <c r="B38" t="s">
        <v>355</v>
      </c>
      <c r="C38" s="1" t="s">
        <v>1821</v>
      </c>
      <c r="D38" s="18">
        <v>59810</v>
      </c>
      <c r="E38" t="s">
        <v>6</v>
      </c>
      <c r="F38" s="2">
        <v>42809</v>
      </c>
      <c r="G38" s="19">
        <v>5981</v>
      </c>
      <c r="H38" s="20">
        <f t="shared" si="0"/>
        <v>271</v>
      </c>
      <c r="I38" s="21">
        <v>22</v>
      </c>
      <c r="J38" s="22">
        <f t="shared" si="4"/>
        <v>9.9682327370005014E-2</v>
      </c>
      <c r="K38" s="19">
        <f t="shared" si="5"/>
        <v>5962</v>
      </c>
    </row>
    <row r="39" spans="1:11">
      <c r="A39" s="1">
        <v>176</v>
      </c>
      <c r="B39" t="s">
        <v>358</v>
      </c>
      <c r="C39" s="1" t="s">
        <v>1821</v>
      </c>
      <c r="D39" s="18">
        <v>54840</v>
      </c>
      <c r="E39" t="s">
        <v>6</v>
      </c>
      <c r="F39" s="2">
        <v>42809</v>
      </c>
      <c r="G39" s="19">
        <v>5484</v>
      </c>
      <c r="H39" s="20">
        <f t="shared" si="0"/>
        <v>249</v>
      </c>
      <c r="I39" s="21">
        <v>22</v>
      </c>
      <c r="J39" s="22">
        <f t="shared" si="4"/>
        <v>9.9890590809628005E-2</v>
      </c>
      <c r="K39" s="19">
        <f t="shared" si="5"/>
        <v>5478</v>
      </c>
    </row>
    <row r="40" spans="1:11">
      <c r="A40" s="1">
        <v>177</v>
      </c>
      <c r="B40" t="s">
        <v>363</v>
      </c>
      <c r="C40" s="1" t="s">
        <v>1821</v>
      </c>
      <c r="D40" s="18">
        <v>25880</v>
      </c>
      <c r="E40" t="s">
        <v>6</v>
      </c>
      <c r="F40" s="2">
        <v>42809</v>
      </c>
      <c r="G40" s="19">
        <v>2588</v>
      </c>
      <c r="H40" s="20">
        <f t="shared" si="0"/>
        <v>117</v>
      </c>
      <c r="I40" s="21">
        <v>22</v>
      </c>
      <c r="J40" s="22">
        <f t="shared" si="4"/>
        <v>9.9459041731066455E-2</v>
      </c>
      <c r="K40" s="19">
        <f t="shared" si="5"/>
        <v>2574</v>
      </c>
    </row>
    <row r="41" spans="1:11">
      <c r="A41" s="1">
        <v>1010</v>
      </c>
      <c r="B41" t="s">
        <v>354</v>
      </c>
      <c r="C41" s="1" t="s">
        <v>1821</v>
      </c>
      <c r="D41" s="18">
        <v>243020</v>
      </c>
      <c r="E41" t="s">
        <v>6</v>
      </c>
      <c r="F41" s="2">
        <v>42809</v>
      </c>
      <c r="G41" s="19">
        <v>48604</v>
      </c>
      <c r="H41" s="20">
        <f t="shared" si="0"/>
        <v>2209</v>
      </c>
      <c r="I41" s="21">
        <v>22</v>
      </c>
      <c r="J41" s="22">
        <f t="shared" si="4"/>
        <v>0.19997531067401861</v>
      </c>
      <c r="K41" s="19">
        <f t="shared" si="5"/>
        <v>48598</v>
      </c>
    </row>
    <row r="42" spans="1:11">
      <c r="A42" s="1">
        <v>1012</v>
      </c>
      <c r="B42" t="s">
        <v>369</v>
      </c>
      <c r="C42" s="1" t="s">
        <v>1821</v>
      </c>
      <c r="D42" s="18">
        <v>88340</v>
      </c>
      <c r="E42" t="s">
        <v>6</v>
      </c>
      <c r="F42" s="2">
        <v>42809</v>
      </c>
      <c r="G42" s="19">
        <v>17668</v>
      </c>
      <c r="H42" s="20">
        <f t="shared" si="0"/>
        <v>803</v>
      </c>
      <c r="I42" s="21">
        <v>22</v>
      </c>
      <c r="J42" s="22">
        <f t="shared" si="4"/>
        <v>0.19997736019923024</v>
      </c>
      <c r="K42" s="19">
        <f t="shared" si="5"/>
        <v>17666</v>
      </c>
    </row>
    <row r="43" spans="1:11">
      <c r="A43" s="1">
        <v>1028</v>
      </c>
      <c r="B43" t="s">
        <v>351</v>
      </c>
      <c r="C43" s="1" t="s">
        <v>1821</v>
      </c>
      <c r="D43" s="18">
        <v>103970</v>
      </c>
      <c r="E43" t="s">
        <v>6</v>
      </c>
      <c r="F43" s="2">
        <v>42809</v>
      </c>
      <c r="G43" s="19">
        <v>10397</v>
      </c>
      <c r="H43" s="20">
        <f t="shared" si="0"/>
        <v>472</v>
      </c>
      <c r="I43" s="21">
        <v>22</v>
      </c>
      <c r="J43" s="22">
        <f t="shared" si="4"/>
        <v>9.987496393190344E-2</v>
      </c>
      <c r="K43" s="19">
        <f t="shared" si="5"/>
        <v>10384</v>
      </c>
    </row>
    <row r="44" spans="1:11">
      <c r="A44" s="1">
        <v>1043</v>
      </c>
      <c r="B44" t="s">
        <v>372</v>
      </c>
      <c r="C44" s="1" t="s">
        <v>1821</v>
      </c>
      <c r="D44" s="18">
        <v>88341.666666666672</v>
      </c>
      <c r="E44" t="s">
        <v>6</v>
      </c>
      <c r="F44" s="2">
        <v>42809</v>
      </c>
      <c r="G44" s="19">
        <v>10601</v>
      </c>
      <c r="H44" s="20">
        <f t="shared" si="0"/>
        <v>481</v>
      </c>
      <c r="I44" s="21">
        <v>22</v>
      </c>
      <c r="J44" s="22">
        <f t="shared" si="4"/>
        <v>0.11978492595038204</v>
      </c>
      <c r="K44" s="19">
        <f t="shared" si="5"/>
        <v>10582</v>
      </c>
    </row>
    <row r="45" spans="1:11">
      <c r="A45" s="1">
        <v>1113</v>
      </c>
      <c r="B45" t="s">
        <v>350</v>
      </c>
      <c r="C45" s="1" t="s">
        <v>1821</v>
      </c>
      <c r="D45" s="18">
        <v>104190</v>
      </c>
      <c r="E45" t="s">
        <v>6</v>
      </c>
      <c r="F45" s="2">
        <v>42809</v>
      </c>
      <c r="G45" s="19">
        <v>20838</v>
      </c>
      <c r="H45" s="20">
        <f t="shared" si="0"/>
        <v>947</v>
      </c>
      <c r="I45" s="21">
        <v>22</v>
      </c>
      <c r="J45" s="22">
        <f t="shared" si="4"/>
        <v>0.19996160859967368</v>
      </c>
      <c r="K45" s="19">
        <f t="shared" si="5"/>
        <v>20834</v>
      </c>
    </row>
    <row r="46" spans="1:11">
      <c r="A46" s="1">
        <v>1114</v>
      </c>
      <c r="B46" t="s">
        <v>374</v>
      </c>
      <c r="C46" s="1" t="s">
        <v>1821</v>
      </c>
      <c r="D46" s="18">
        <v>164790</v>
      </c>
      <c r="E46" t="s">
        <v>6</v>
      </c>
      <c r="F46" s="2">
        <v>42809</v>
      </c>
      <c r="G46" s="19">
        <v>32958</v>
      </c>
      <c r="H46" s="20">
        <f t="shared" si="0"/>
        <v>1498</v>
      </c>
      <c r="I46" s="21">
        <v>22</v>
      </c>
      <c r="J46" s="22">
        <f t="shared" si="4"/>
        <v>0.19998786334122215</v>
      </c>
      <c r="K46" s="19">
        <f t="shared" si="5"/>
        <v>32956</v>
      </c>
    </row>
    <row r="47" spans="1:11">
      <c r="A47" s="1">
        <v>1115</v>
      </c>
      <c r="B47" t="s">
        <v>331</v>
      </c>
      <c r="C47" s="1" t="s">
        <v>1821</v>
      </c>
      <c r="D47" s="18">
        <v>59825</v>
      </c>
      <c r="E47" t="s">
        <v>6</v>
      </c>
      <c r="F47" s="2">
        <v>42809</v>
      </c>
      <c r="G47" s="19">
        <v>11965</v>
      </c>
      <c r="H47" s="20">
        <f t="shared" si="0"/>
        <v>543</v>
      </c>
      <c r="I47" s="21">
        <v>22</v>
      </c>
      <c r="J47" s="22">
        <f t="shared" si="4"/>
        <v>0.19968240702047638</v>
      </c>
      <c r="K47" s="19">
        <f t="shared" si="5"/>
        <v>11946</v>
      </c>
    </row>
    <row r="48" spans="1:11">
      <c r="A48" s="1">
        <v>1117</v>
      </c>
      <c r="B48" t="s">
        <v>329</v>
      </c>
      <c r="C48" s="1" t="s">
        <v>1821</v>
      </c>
      <c r="D48" s="18">
        <v>36350</v>
      </c>
      <c r="E48" t="s">
        <v>6</v>
      </c>
      <c r="F48" s="2">
        <v>42809</v>
      </c>
      <c r="G48" s="19">
        <v>3635</v>
      </c>
      <c r="H48" s="20">
        <f t="shared" si="0"/>
        <v>165</v>
      </c>
      <c r="I48" s="21">
        <v>22</v>
      </c>
      <c r="J48" s="22">
        <f t="shared" si="4"/>
        <v>9.9862448418156807E-2</v>
      </c>
      <c r="K48" s="19">
        <f t="shared" si="5"/>
        <v>3630</v>
      </c>
    </row>
    <row r="49" spans="1:11">
      <c r="A49" s="1">
        <v>1118</v>
      </c>
      <c r="B49" t="s">
        <v>338</v>
      </c>
      <c r="C49" s="1" t="s">
        <v>1821</v>
      </c>
      <c r="D49" s="18">
        <v>18660</v>
      </c>
      <c r="E49" t="s">
        <v>6</v>
      </c>
      <c r="F49" s="2">
        <v>42809</v>
      </c>
      <c r="G49" s="19">
        <v>1866</v>
      </c>
      <c r="H49" s="20">
        <f t="shared" si="0"/>
        <v>84</v>
      </c>
      <c r="I49" s="21">
        <v>22</v>
      </c>
      <c r="J49" s="22">
        <f t="shared" si="4"/>
        <v>9.9035369774919613E-2</v>
      </c>
      <c r="K49" s="19">
        <f t="shared" si="5"/>
        <v>1848</v>
      </c>
    </row>
    <row r="50" spans="1:11">
      <c r="A50" s="1">
        <v>1119</v>
      </c>
      <c r="B50" t="s">
        <v>337</v>
      </c>
      <c r="C50" s="1" t="s">
        <v>1821</v>
      </c>
      <c r="D50" s="18">
        <v>146300</v>
      </c>
      <c r="E50" t="s">
        <v>6</v>
      </c>
      <c r="F50" s="2">
        <v>42809</v>
      </c>
      <c r="G50" s="19">
        <v>14630</v>
      </c>
      <c r="H50" s="20">
        <f t="shared" si="0"/>
        <v>665</v>
      </c>
      <c r="I50" s="21">
        <v>22</v>
      </c>
      <c r="J50" s="22">
        <f t="shared" si="4"/>
        <v>0.1</v>
      </c>
      <c r="K50" s="19">
        <f t="shared" si="5"/>
        <v>14630</v>
      </c>
    </row>
    <row r="51" spans="1:11">
      <c r="A51" s="1">
        <v>1121</v>
      </c>
      <c r="B51" t="s">
        <v>327</v>
      </c>
      <c r="C51" s="1" t="s">
        <v>1821</v>
      </c>
      <c r="D51" s="18">
        <v>31350</v>
      </c>
      <c r="E51" t="s">
        <v>6</v>
      </c>
      <c r="F51" s="2">
        <v>42809</v>
      </c>
      <c r="G51" s="19">
        <v>6270</v>
      </c>
      <c r="H51" s="20">
        <f t="shared" si="0"/>
        <v>285</v>
      </c>
      <c r="I51" s="21">
        <v>22</v>
      </c>
      <c r="J51" s="22">
        <f t="shared" si="4"/>
        <v>0.2</v>
      </c>
      <c r="K51" s="19">
        <f t="shared" si="5"/>
        <v>6270</v>
      </c>
    </row>
    <row r="52" spans="1:11">
      <c r="A52" s="1">
        <v>1123</v>
      </c>
      <c r="B52" t="s">
        <v>334</v>
      </c>
      <c r="C52" s="1" t="s">
        <v>1821</v>
      </c>
      <c r="D52" s="18">
        <v>13780</v>
      </c>
      <c r="E52" t="s">
        <v>6</v>
      </c>
      <c r="F52" s="2">
        <v>42809</v>
      </c>
      <c r="G52" s="19">
        <v>1378</v>
      </c>
      <c r="H52" s="20">
        <f t="shared" si="0"/>
        <v>62</v>
      </c>
      <c r="I52" s="21">
        <v>22</v>
      </c>
      <c r="J52" s="22">
        <f t="shared" si="4"/>
        <v>9.8984034833091442E-2</v>
      </c>
      <c r="K52" s="19">
        <f t="shared" si="5"/>
        <v>1364</v>
      </c>
    </row>
    <row r="53" spans="1:11">
      <c r="A53" s="1">
        <v>1125</v>
      </c>
      <c r="B53" t="s">
        <v>345</v>
      </c>
      <c r="C53" s="1" t="s">
        <v>1821</v>
      </c>
      <c r="D53" s="18">
        <v>14030</v>
      </c>
      <c r="E53" t="s">
        <v>6</v>
      </c>
      <c r="F53" s="2">
        <v>42809</v>
      </c>
      <c r="G53" s="19">
        <v>1403</v>
      </c>
      <c r="H53" s="20">
        <f t="shared" si="0"/>
        <v>63</v>
      </c>
      <c r="I53" s="21">
        <v>22</v>
      </c>
      <c r="J53" s="22">
        <f t="shared" si="4"/>
        <v>9.878831076265146E-2</v>
      </c>
      <c r="K53" s="19">
        <f t="shared" si="5"/>
        <v>1386</v>
      </c>
    </row>
    <row r="54" spans="1:11">
      <c r="A54" s="1">
        <v>1126</v>
      </c>
      <c r="B54" t="s">
        <v>344</v>
      </c>
      <c r="C54" s="1" t="s">
        <v>1821</v>
      </c>
      <c r="D54" s="18">
        <v>10810</v>
      </c>
      <c r="E54" t="s">
        <v>6</v>
      </c>
      <c r="F54" s="2">
        <v>42809</v>
      </c>
      <c r="G54" s="19">
        <v>1081</v>
      </c>
      <c r="H54" s="20">
        <f t="shared" si="0"/>
        <v>49</v>
      </c>
      <c r="I54" s="21">
        <v>22</v>
      </c>
      <c r="J54" s="22">
        <f t="shared" si="4"/>
        <v>9.9722479185938948E-2</v>
      </c>
      <c r="K54" s="19">
        <f t="shared" si="5"/>
        <v>1078</v>
      </c>
    </row>
    <row r="55" spans="1:11">
      <c r="A55" s="1">
        <v>1127</v>
      </c>
      <c r="B55" t="s">
        <v>1793</v>
      </c>
      <c r="C55" s="1" t="s">
        <v>1821</v>
      </c>
      <c r="D55" s="18">
        <v>11080</v>
      </c>
      <c r="E55" t="s">
        <v>6</v>
      </c>
      <c r="F55" s="2">
        <v>42809</v>
      </c>
      <c r="G55" s="19">
        <v>1108</v>
      </c>
      <c r="H55" s="20">
        <f t="shared" si="0"/>
        <v>50</v>
      </c>
      <c r="I55" s="21">
        <v>22</v>
      </c>
      <c r="J55" s="22">
        <f t="shared" si="4"/>
        <v>9.9277978339350176E-2</v>
      </c>
      <c r="K55" s="19">
        <f t="shared" si="5"/>
        <v>1100</v>
      </c>
    </row>
    <row r="56" spans="1:11">
      <c r="A56" s="1">
        <v>1128</v>
      </c>
      <c r="B56" t="s">
        <v>332</v>
      </c>
      <c r="C56" s="1" t="s">
        <v>1821</v>
      </c>
      <c r="D56" s="18">
        <v>25770</v>
      </c>
      <c r="E56" t="s">
        <v>6</v>
      </c>
      <c r="F56" s="2">
        <v>42809</v>
      </c>
      <c r="G56" s="19">
        <v>2577</v>
      </c>
      <c r="H56" s="20">
        <f t="shared" si="0"/>
        <v>117</v>
      </c>
      <c r="I56" s="21">
        <v>22</v>
      </c>
      <c r="J56" s="22">
        <f t="shared" si="4"/>
        <v>9.9883585564610008E-2</v>
      </c>
      <c r="K56" s="19">
        <f t="shared" si="5"/>
        <v>2574</v>
      </c>
    </row>
    <row r="57" spans="1:11">
      <c r="A57" s="1">
        <v>1132</v>
      </c>
      <c r="B57" t="s">
        <v>342</v>
      </c>
      <c r="C57" s="1" t="s">
        <v>440</v>
      </c>
      <c r="D57" s="18">
        <v>18310</v>
      </c>
      <c r="E57" t="s">
        <v>6</v>
      </c>
      <c r="F57" s="2">
        <v>42809</v>
      </c>
      <c r="G57" s="19">
        <v>1831</v>
      </c>
      <c r="H57" s="20">
        <f t="shared" si="0"/>
        <v>83</v>
      </c>
      <c r="I57" s="21">
        <v>22</v>
      </c>
      <c r="J57" s="22">
        <f t="shared" si="4"/>
        <v>9.9726925177498635E-2</v>
      </c>
      <c r="K57" s="19">
        <f t="shared" si="5"/>
        <v>1826</v>
      </c>
    </row>
    <row r="58" spans="1:11">
      <c r="A58" s="1">
        <v>2000</v>
      </c>
      <c r="B58" t="s">
        <v>380</v>
      </c>
      <c r="C58" s="1" t="s">
        <v>440</v>
      </c>
      <c r="D58" s="18">
        <v>82341.666666666672</v>
      </c>
      <c r="E58" t="s">
        <v>9</v>
      </c>
      <c r="F58" s="2">
        <v>42809</v>
      </c>
      <c r="G58" s="19">
        <v>9881</v>
      </c>
      <c r="H58" s="20">
        <f t="shared" si="0"/>
        <v>449</v>
      </c>
      <c r="I58" s="21">
        <v>22</v>
      </c>
      <c r="J58" s="22">
        <f t="shared" si="4"/>
        <v>0.11996356644064365</v>
      </c>
      <c r="K58" s="19">
        <f t="shared" si="5"/>
        <v>9878</v>
      </c>
    </row>
    <row r="59" spans="1:11">
      <c r="A59" s="1">
        <v>2001</v>
      </c>
      <c r="B59" t="s">
        <v>381</v>
      </c>
      <c r="C59" s="1" t="s">
        <v>440</v>
      </c>
      <c r="D59" s="18">
        <v>90160</v>
      </c>
      <c r="E59" t="s">
        <v>9</v>
      </c>
      <c r="F59" s="2">
        <v>42809</v>
      </c>
      <c r="G59" s="19">
        <v>18032</v>
      </c>
      <c r="H59" s="20">
        <f t="shared" si="0"/>
        <v>819</v>
      </c>
      <c r="I59" s="21">
        <v>22</v>
      </c>
      <c r="J59" s="22">
        <f t="shared" si="4"/>
        <v>0.19984472049689442</v>
      </c>
      <c r="K59" s="19">
        <f t="shared" si="5"/>
        <v>18018</v>
      </c>
    </row>
    <row r="60" spans="1:11">
      <c r="A60" s="1">
        <v>2002</v>
      </c>
      <c r="B60" t="s">
        <v>185</v>
      </c>
      <c r="C60" s="1" t="s">
        <v>440</v>
      </c>
      <c r="D60" s="18">
        <v>34958.333333333336</v>
      </c>
      <c r="E60" t="s">
        <v>9</v>
      </c>
      <c r="F60" s="2">
        <v>42809</v>
      </c>
      <c r="G60" s="19">
        <v>4195</v>
      </c>
      <c r="H60" s="20">
        <f t="shared" si="0"/>
        <v>190</v>
      </c>
      <c r="I60" s="21">
        <v>22</v>
      </c>
      <c r="J60" s="22">
        <f t="shared" si="4"/>
        <v>0.11957091775923717</v>
      </c>
      <c r="K60" s="19">
        <f t="shared" si="5"/>
        <v>4180</v>
      </c>
    </row>
    <row r="61" spans="1:11">
      <c r="A61" s="1">
        <v>2003</v>
      </c>
      <c r="B61" t="s">
        <v>222</v>
      </c>
      <c r="C61" s="1" t="s">
        <v>440</v>
      </c>
      <c r="D61" s="18">
        <v>47841.666666666672</v>
      </c>
      <c r="E61" t="s">
        <v>9</v>
      </c>
      <c r="F61" s="2">
        <v>42809</v>
      </c>
      <c r="G61" s="19">
        <v>5741</v>
      </c>
      <c r="H61" s="20">
        <f t="shared" si="0"/>
        <v>260</v>
      </c>
      <c r="I61" s="21">
        <v>22</v>
      </c>
      <c r="J61" s="22">
        <f t="shared" si="4"/>
        <v>0.11956105208151889</v>
      </c>
      <c r="K61" s="19">
        <f t="shared" si="5"/>
        <v>5720</v>
      </c>
    </row>
    <row r="62" spans="1:11">
      <c r="A62" s="1">
        <v>2004</v>
      </c>
      <c r="B62" t="s">
        <v>409</v>
      </c>
      <c r="C62" s="1" t="s">
        <v>440</v>
      </c>
      <c r="D62" s="18">
        <v>50600</v>
      </c>
      <c r="E62" t="s">
        <v>9</v>
      </c>
      <c r="F62" s="2">
        <v>42809</v>
      </c>
      <c r="G62" s="19">
        <v>6072</v>
      </c>
      <c r="H62" s="20">
        <f t="shared" si="0"/>
        <v>276</v>
      </c>
      <c r="I62" s="21">
        <v>22</v>
      </c>
      <c r="J62" s="22">
        <f t="shared" si="4"/>
        <v>0.12</v>
      </c>
      <c r="K62" s="19">
        <f t="shared" si="5"/>
        <v>6072</v>
      </c>
    </row>
    <row r="63" spans="1:11">
      <c r="A63" s="1">
        <v>2005</v>
      </c>
      <c r="B63" t="s">
        <v>411</v>
      </c>
      <c r="C63" s="1" t="s">
        <v>440</v>
      </c>
      <c r="D63" s="18">
        <v>62558.333333333336</v>
      </c>
      <c r="E63" t="s">
        <v>9</v>
      </c>
      <c r="F63" s="2">
        <v>42809</v>
      </c>
      <c r="G63" s="19">
        <v>7507</v>
      </c>
      <c r="H63" s="20">
        <f t="shared" si="0"/>
        <v>341</v>
      </c>
      <c r="I63" s="21">
        <v>22</v>
      </c>
      <c r="J63" s="22">
        <f t="shared" si="4"/>
        <v>0.11992007459704275</v>
      </c>
      <c r="K63" s="19">
        <f t="shared" si="5"/>
        <v>7502</v>
      </c>
    </row>
    <row r="64" spans="1:11">
      <c r="A64" s="1">
        <v>2006</v>
      </c>
      <c r="B64" t="s">
        <v>217</v>
      </c>
      <c r="C64" s="1" t="s">
        <v>440</v>
      </c>
      <c r="D64" s="18">
        <v>60716.666666666672</v>
      </c>
      <c r="E64" t="s">
        <v>9</v>
      </c>
      <c r="F64" s="2">
        <v>42809</v>
      </c>
      <c r="G64" s="19">
        <v>7286</v>
      </c>
      <c r="H64" s="20">
        <f t="shared" si="0"/>
        <v>331</v>
      </c>
      <c r="I64" s="21">
        <v>22</v>
      </c>
      <c r="J64" s="22">
        <f t="shared" si="4"/>
        <v>0.11993412023057919</v>
      </c>
      <c r="K64" s="19">
        <f t="shared" si="5"/>
        <v>7282</v>
      </c>
    </row>
    <row r="65" spans="1:11">
      <c r="A65" s="1">
        <v>2007</v>
      </c>
      <c r="B65" t="s">
        <v>210</v>
      </c>
      <c r="C65" s="1" t="s">
        <v>440</v>
      </c>
      <c r="D65" s="18">
        <v>82341.666666666672</v>
      </c>
      <c r="E65" t="s">
        <v>9</v>
      </c>
      <c r="F65" s="2">
        <v>42809</v>
      </c>
      <c r="G65" s="19">
        <v>9881</v>
      </c>
      <c r="H65" s="20">
        <f t="shared" si="0"/>
        <v>449</v>
      </c>
      <c r="I65" s="21">
        <v>22</v>
      </c>
      <c r="J65" s="22">
        <f t="shared" si="4"/>
        <v>0.11996356644064365</v>
      </c>
      <c r="K65" s="19">
        <f t="shared" si="5"/>
        <v>9878</v>
      </c>
    </row>
    <row r="66" spans="1:11">
      <c r="A66" s="1">
        <v>2008</v>
      </c>
      <c r="B66" t="s">
        <v>1796</v>
      </c>
      <c r="C66" s="1" t="s">
        <v>440</v>
      </c>
      <c r="D66" s="18">
        <v>36800</v>
      </c>
      <c r="E66" t="s">
        <v>9</v>
      </c>
      <c r="F66" s="2">
        <v>42809</v>
      </c>
      <c r="G66" s="19">
        <v>4416</v>
      </c>
      <c r="H66" s="20">
        <f t="shared" si="0"/>
        <v>200</v>
      </c>
      <c r="I66" s="21">
        <v>22</v>
      </c>
      <c r="J66" s="22">
        <f t="shared" si="4"/>
        <v>0.11956521739130435</v>
      </c>
      <c r="K66" s="19">
        <f t="shared" si="5"/>
        <v>4400</v>
      </c>
    </row>
    <row r="67" spans="1:11">
      <c r="A67" s="1">
        <v>2009</v>
      </c>
      <c r="B67" t="s">
        <v>1797</v>
      </c>
      <c r="C67" s="1" t="s">
        <v>440</v>
      </c>
      <c r="D67" s="18">
        <v>46100</v>
      </c>
      <c r="E67" t="s">
        <v>9</v>
      </c>
      <c r="F67" s="2">
        <v>42809</v>
      </c>
      <c r="G67" s="19">
        <v>4610</v>
      </c>
      <c r="H67" s="20">
        <f t="shared" si="0"/>
        <v>209</v>
      </c>
      <c r="I67" s="21">
        <v>22</v>
      </c>
      <c r="J67" s="22">
        <f t="shared" si="4"/>
        <v>9.9739696312364429E-2</v>
      </c>
      <c r="K67" s="19">
        <f t="shared" si="5"/>
        <v>4598</v>
      </c>
    </row>
    <row r="68" spans="1:11">
      <c r="A68" s="1">
        <v>2010</v>
      </c>
      <c r="B68" t="s">
        <v>203</v>
      </c>
      <c r="C68" s="1" t="s">
        <v>440</v>
      </c>
      <c r="D68" s="18">
        <v>40483.333333333336</v>
      </c>
      <c r="E68" t="s">
        <v>9</v>
      </c>
      <c r="F68" s="2">
        <v>42809</v>
      </c>
      <c r="G68" s="19">
        <v>4858</v>
      </c>
      <c r="H68" s="20">
        <f t="shared" si="0"/>
        <v>220</v>
      </c>
      <c r="I68" s="21">
        <v>22</v>
      </c>
      <c r="J68" s="22">
        <f t="shared" si="4"/>
        <v>0.11955537258130917</v>
      </c>
      <c r="K68" s="19">
        <f t="shared" si="5"/>
        <v>4840</v>
      </c>
    </row>
    <row r="69" spans="1:11">
      <c r="A69" s="1">
        <v>2011</v>
      </c>
      <c r="B69" t="s">
        <v>1798</v>
      </c>
      <c r="C69" s="1" t="s">
        <v>440</v>
      </c>
      <c r="D69" s="18">
        <v>64400</v>
      </c>
      <c r="E69" t="s">
        <v>9</v>
      </c>
      <c r="F69" s="2">
        <v>42809</v>
      </c>
      <c r="G69" s="19">
        <v>7728</v>
      </c>
      <c r="H69" s="20">
        <f t="shared" ref="H69:H74" si="6">INT(G69/I69)</f>
        <v>351</v>
      </c>
      <c r="I69" s="21">
        <v>22</v>
      </c>
      <c r="J69" s="22">
        <f t="shared" si="4"/>
        <v>0.11990683229813665</v>
      </c>
      <c r="K69" s="19">
        <f t="shared" si="5"/>
        <v>7722</v>
      </c>
    </row>
    <row r="70" spans="1:11">
      <c r="A70" s="1">
        <v>2012</v>
      </c>
      <c r="B70" t="s">
        <v>1799</v>
      </c>
      <c r="C70" s="1" t="s">
        <v>440</v>
      </c>
      <c r="D70" s="18">
        <v>88341.666666666672</v>
      </c>
      <c r="E70" t="s">
        <v>9</v>
      </c>
      <c r="F70" s="2">
        <v>42809</v>
      </c>
      <c r="G70" s="19">
        <v>10601</v>
      </c>
      <c r="H70" s="20">
        <f t="shared" si="6"/>
        <v>481</v>
      </c>
      <c r="I70" s="21">
        <v>22</v>
      </c>
      <c r="J70" s="22">
        <f t="shared" ref="J70:J74" si="7">K70/D70</f>
        <v>0.11978492595038204</v>
      </c>
      <c r="K70" s="19">
        <f t="shared" ref="K70:K74" si="8">H70*I70</f>
        <v>10582</v>
      </c>
    </row>
    <row r="71" spans="1:11">
      <c r="A71" s="1">
        <v>2013</v>
      </c>
      <c r="B71" t="s">
        <v>240</v>
      </c>
      <c r="C71" s="1" t="s">
        <v>440</v>
      </c>
      <c r="D71" s="18">
        <v>82341.666666666672</v>
      </c>
      <c r="E71" t="s">
        <v>9</v>
      </c>
      <c r="F71" s="2">
        <v>42809</v>
      </c>
      <c r="G71" s="19">
        <v>9881</v>
      </c>
      <c r="H71" s="20">
        <f t="shared" si="6"/>
        <v>449</v>
      </c>
      <c r="I71" s="21">
        <v>22</v>
      </c>
      <c r="J71" s="22">
        <f t="shared" si="7"/>
        <v>0.11996356644064365</v>
      </c>
      <c r="K71" s="19">
        <f t="shared" si="8"/>
        <v>9878</v>
      </c>
    </row>
    <row r="72" spans="1:11">
      <c r="A72" s="1">
        <v>2166</v>
      </c>
      <c r="B72" t="s">
        <v>382</v>
      </c>
      <c r="C72" s="1" t="s">
        <v>440</v>
      </c>
      <c r="D72" s="18">
        <v>56580</v>
      </c>
      <c r="E72" t="s">
        <v>9</v>
      </c>
      <c r="F72" s="2">
        <v>42809</v>
      </c>
      <c r="G72" s="19">
        <v>11316</v>
      </c>
      <c r="H72" s="20">
        <f t="shared" si="6"/>
        <v>514</v>
      </c>
      <c r="I72" s="21">
        <v>22</v>
      </c>
      <c r="J72" s="22">
        <f t="shared" si="7"/>
        <v>0.199858607281725</v>
      </c>
      <c r="K72" s="19">
        <f t="shared" si="8"/>
        <v>11308</v>
      </c>
    </row>
    <row r="73" spans="1:11">
      <c r="A73" s="1">
        <v>2167</v>
      </c>
      <c r="B73" t="s">
        <v>378</v>
      </c>
      <c r="C73" s="1" t="s">
        <v>440</v>
      </c>
      <c r="D73" s="18">
        <v>87400</v>
      </c>
      <c r="E73" t="s">
        <v>9</v>
      </c>
      <c r="F73" s="2">
        <v>42809</v>
      </c>
      <c r="G73" s="19">
        <v>10488</v>
      </c>
      <c r="H73" s="20">
        <f t="shared" si="6"/>
        <v>476</v>
      </c>
      <c r="I73" s="21">
        <v>22</v>
      </c>
      <c r="J73" s="22">
        <f t="shared" si="7"/>
        <v>0.11981693363844394</v>
      </c>
      <c r="K73" s="19">
        <f t="shared" si="8"/>
        <v>10472</v>
      </c>
    </row>
    <row r="74" spans="1:11">
      <c r="A74" s="1">
        <v>2168</v>
      </c>
      <c r="B74" t="s">
        <v>375</v>
      </c>
      <c r="C74" s="1" t="s">
        <v>440</v>
      </c>
      <c r="D74" s="18">
        <v>176200</v>
      </c>
      <c r="E74" t="s">
        <v>9</v>
      </c>
      <c r="F74" s="2">
        <v>42809</v>
      </c>
      <c r="G74" s="19">
        <v>17620</v>
      </c>
      <c r="H74" s="20">
        <f t="shared" si="6"/>
        <v>800</v>
      </c>
      <c r="I74" s="21">
        <v>22</v>
      </c>
      <c r="J74" s="22">
        <f t="shared" si="7"/>
        <v>9.9886492622020429E-2</v>
      </c>
      <c r="K74" s="19">
        <f t="shared" si="8"/>
        <v>17600</v>
      </c>
    </row>
  </sheetData>
  <autoFilter ref="A1:K74" xr:uid="{837D7DE9-B098-4E47-9798-1A6B43907D64}"/>
  <phoneticPr fontId="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J14" sqref="J14"/>
    </sheetView>
  </sheetViews>
  <sheetFormatPr defaultRowHeight="14.45"/>
  <cols>
    <col min="2" max="2" width="16.5703125" customWidth="1"/>
    <col min="3" max="3" width="14" bestFit="1" customWidth="1"/>
    <col min="4" max="4" width="15.7109375" customWidth="1"/>
    <col min="5" max="5" width="22.85546875" customWidth="1"/>
    <col min="6" max="6" width="18.28515625" customWidth="1"/>
    <col min="7" max="7" width="25.85546875" customWidth="1"/>
    <col min="8" max="8" width="18.28515625" customWidth="1"/>
  </cols>
  <sheetData>
    <row r="1" spans="1:8">
      <c r="A1" t="s">
        <v>129</v>
      </c>
      <c r="B1" t="s">
        <v>452</v>
      </c>
      <c r="C1" t="s">
        <v>453</v>
      </c>
      <c r="D1" t="s">
        <v>454</v>
      </c>
      <c r="E1" t="s">
        <v>455</v>
      </c>
      <c r="F1" t="s">
        <v>456</v>
      </c>
      <c r="G1" t="s">
        <v>457</v>
      </c>
      <c r="H1" t="s">
        <v>458</v>
      </c>
    </row>
    <row r="2" spans="1:8">
      <c r="A2" s="1">
        <v>72</v>
      </c>
      <c r="B2" t="s">
        <v>460</v>
      </c>
      <c r="C2" t="s">
        <v>461</v>
      </c>
      <c r="D2" t="s">
        <v>462</v>
      </c>
      <c r="E2" t="str">
        <f>G2</f>
        <v>bDavis@dartican.com</v>
      </c>
      <c r="F2" t="s">
        <v>464</v>
      </c>
      <c r="G2" t="s">
        <v>1822</v>
      </c>
      <c r="H2" t="s">
        <v>1823</v>
      </c>
    </row>
    <row r="3" spans="1:8">
      <c r="A3" s="1">
        <v>162</v>
      </c>
      <c r="B3" t="s">
        <v>466</v>
      </c>
      <c r="C3" t="s">
        <v>467</v>
      </c>
      <c r="D3" t="s">
        <v>462</v>
      </c>
      <c r="E3" t="str">
        <f t="shared" ref="E3:E12" si="0">G3</f>
        <v>Calvin@dartican.com</v>
      </c>
      <c r="F3" t="s">
        <v>466</v>
      </c>
      <c r="G3" t="s">
        <v>1824</v>
      </c>
      <c r="H3" t="s">
        <v>1823</v>
      </c>
    </row>
    <row r="4" spans="1:8">
      <c r="A4" s="1">
        <v>166</v>
      </c>
      <c r="B4" t="s">
        <v>470</v>
      </c>
      <c r="C4" t="s">
        <v>471</v>
      </c>
      <c r="D4" t="s">
        <v>462</v>
      </c>
      <c r="E4" t="str">
        <f t="shared" si="0"/>
        <v>JMontana@dartican.com</v>
      </c>
      <c r="F4" t="s">
        <v>1825</v>
      </c>
      <c r="G4" t="s">
        <v>1826</v>
      </c>
      <c r="H4" t="s">
        <v>1823</v>
      </c>
    </row>
    <row r="5" spans="1:8">
      <c r="A5" s="1">
        <v>168</v>
      </c>
      <c r="B5" t="s">
        <v>474</v>
      </c>
      <c r="C5" t="s">
        <v>475</v>
      </c>
      <c r="D5" t="s">
        <v>462</v>
      </c>
      <c r="E5" t="str">
        <f t="shared" si="0"/>
        <v>Nsoles@dartican.com</v>
      </c>
      <c r="F5" t="s">
        <v>1827</v>
      </c>
      <c r="G5" t="s">
        <v>1828</v>
      </c>
      <c r="H5" t="s">
        <v>1823</v>
      </c>
    </row>
    <row r="6" spans="1:8">
      <c r="A6" s="1">
        <v>1012</v>
      </c>
      <c r="B6" t="s">
        <v>478</v>
      </c>
      <c r="C6" t="s">
        <v>479</v>
      </c>
      <c r="D6" t="s">
        <v>462</v>
      </c>
      <c r="E6" t="str">
        <f t="shared" si="0"/>
        <v>Jsherman@dartican.com</v>
      </c>
      <c r="F6" t="s">
        <v>1829</v>
      </c>
      <c r="G6" t="s">
        <v>1830</v>
      </c>
      <c r="H6" t="s">
        <v>1823</v>
      </c>
    </row>
    <row r="7" spans="1:8">
      <c r="A7" s="1">
        <v>1113</v>
      </c>
      <c r="B7" t="s">
        <v>482</v>
      </c>
      <c r="C7" t="s">
        <v>483</v>
      </c>
      <c r="D7" t="s">
        <v>462</v>
      </c>
      <c r="E7" t="str">
        <f t="shared" si="0"/>
        <v>sDuncan@dartican.com</v>
      </c>
      <c r="F7" t="s">
        <v>485</v>
      </c>
      <c r="G7" t="s">
        <v>1831</v>
      </c>
      <c r="H7" t="s">
        <v>1823</v>
      </c>
    </row>
    <row r="8" spans="1:8">
      <c r="A8" s="1">
        <v>80</v>
      </c>
      <c r="B8" t="s">
        <v>486</v>
      </c>
      <c r="C8" t="s">
        <v>487</v>
      </c>
      <c r="D8" t="s">
        <v>462</v>
      </c>
      <c r="E8" t="str">
        <f t="shared" si="0"/>
        <v>cjackson@dartican.com</v>
      </c>
      <c r="F8" t="s">
        <v>489</v>
      </c>
      <c r="G8" t="s">
        <v>488</v>
      </c>
      <c r="H8" t="s">
        <v>1823</v>
      </c>
    </row>
    <row r="9" spans="1:8">
      <c r="A9" s="1">
        <v>2166</v>
      </c>
      <c r="B9" t="s">
        <v>490</v>
      </c>
      <c r="C9" t="s">
        <v>491</v>
      </c>
      <c r="D9" t="s">
        <v>462</v>
      </c>
      <c r="E9" t="str">
        <f t="shared" si="0"/>
        <v>tgreen@dartican.com</v>
      </c>
      <c r="F9" t="s">
        <v>1832</v>
      </c>
      <c r="G9" t="s">
        <v>492</v>
      </c>
      <c r="H9" t="s">
        <v>1823</v>
      </c>
    </row>
    <row r="10" spans="1:8">
      <c r="A10" s="1">
        <v>1117</v>
      </c>
      <c r="B10" t="s">
        <v>494</v>
      </c>
      <c r="C10" t="s">
        <v>495</v>
      </c>
      <c r="D10" t="s">
        <v>462</v>
      </c>
      <c r="E10" t="str">
        <f t="shared" si="0"/>
        <v>rramsey@dartican.com</v>
      </c>
      <c r="F10" t="s">
        <v>497</v>
      </c>
      <c r="G10" t="s">
        <v>496</v>
      </c>
      <c r="H10" t="s">
        <v>1823</v>
      </c>
    </row>
    <row r="11" spans="1:8">
      <c r="A11" s="1">
        <v>1114</v>
      </c>
      <c r="B11" t="s">
        <v>498</v>
      </c>
      <c r="C11" t="s">
        <v>499</v>
      </c>
      <c r="D11" t="s">
        <v>462</v>
      </c>
      <c r="E11" t="str">
        <f t="shared" si="0"/>
        <v>dsampson@dartican.com</v>
      </c>
      <c r="F11" t="s">
        <v>501</v>
      </c>
      <c r="G11" t="s">
        <v>500</v>
      </c>
      <c r="H11" t="s">
        <v>1823</v>
      </c>
    </row>
    <row r="12" spans="1:8">
      <c r="A12" s="1">
        <v>2013</v>
      </c>
      <c r="B12" t="s">
        <v>502</v>
      </c>
      <c r="C12" t="s">
        <v>503</v>
      </c>
      <c r="D12" t="s">
        <v>462</v>
      </c>
      <c r="E12" t="str">
        <f t="shared" si="0"/>
        <v>jyokay@dartican.com</v>
      </c>
      <c r="F12" t="s">
        <v>505</v>
      </c>
      <c r="G12" t="s">
        <v>504</v>
      </c>
      <c r="H12" t="s">
        <v>1823</v>
      </c>
    </row>
    <row r="13" spans="1:8">
      <c r="A13">
        <v>110</v>
      </c>
      <c r="B13" t="s">
        <v>1833</v>
      </c>
      <c r="C13" t="s">
        <v>1834</v>
      </c>
      <c r="D13" t="s">
        <v>462</v>
      </c>
      <c r="E13" t="s">
        <v>1835</v>
      </c>
      <c r="F13">
        <v>110</v>
      </c>
      <c r="G13" t="s">
        <v>1835</v>
      </c>
      <c r="H13" t="s">
        <v>1823</v>
      </c>
    </row>
    <row r="14" spans="1:8">
      <c r="A14" s="1">
        <v>1121</v>
      </c>
      <c r="B14" t="s">
        <v>507</v>
      </c>
      <c r="C14" t="s">
        <v>506</v>
      </c>
      <c r="D14" t="s">
        <v>462</v>
      </c>
      <c r="E14" s="27" t="s">
        <v>1836</v>
      </c>
      <c r="F14" t="s">
        <v>1837</v>
      </c>
      <c r="G14" s="27" t="s">
        <v>1836</v>
      </c>
      <c r="H14" t="s">
        <v>1823</v>
      </c>
    </row>
  </sheetData>
  <hyperlinks>
    <hyperlink ref="E14" r:id="rId1" xr:uid="{6A3570D9-D302-48A3-B17A-5EE1AB7AC8C5}"/>
    <hyperlink ref="G14" r:id="rId2" xr:uid="{1D357361-B035-448E-BC68-136464333AD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76A2-EF9A-4D2C-AAF3-38326C30FBDA}">
  <dimension ref="A1:H300"/>
  <sheetViews>
    <sheetView workbookViewId="0">
      <selection activeCell="D22" sqref="D22"/>
    </sheetView>
  </sheetViews>
  <sheetFormatPr defaultRowHeight="14.45"/>
  <cols>
    <col min="1" max="1" width="17" customWidth="1"/>
    <col min="2" max="3" width="26.28515625" customWidth="1"/>
    <col min="4" max="4" width="25.28515625" customWidth="1"/>
    <col min="5" max="5" width="21.7109375" bestFit="1" customWidth="1"/>
    <col min="6" max="6" width="27.7109375" customWidth="1"/>
    <col min="7" max="7" width="16.85546875" bestFit="1" customWidth="1"/>
    <col min="8" max="8" width="21.5703125" bestFit="1" customWidth="1"/>
  </cols>
  <sheetData>
    <row r="1" spans="1:8">
      <c r="A1" s="28" t="s">
        <v>1838</v>
      </c>
      <c r="B1" s="28" t="s">
        <v>452</v>
      </c>
      <c r="C1" s="28" t="s">
        <v>453</v>
      </c>
      <c r="D1" s="28" t="s">
        <v>454</v>
      </c>
      <c r="E1" s="28" t="s">
        <v>456</v>
      </c>
      <c r="F1" s="28" t="s">
        <v>457</v>
      </c>
      <c r="G1" s="28" t="s">
        <v>458</v>
      </c>
      <c r="H1" t="s">
        <v>459</v>
      </c>
    </row>
    <row r="2" spans="1:8">
      <c r="A2" s="28" t="s">
        <v>639</v>
      </c>
      <c r="B2" s="28" t="s">
        <v>640</v>
      </c>
      <c r="C2" s="28" t="s">
        <v>641</v>
      </c>
      <c r="D2" s="28" t="s">
        <v>462</v>
      </c>
      <c r="E2" s="28" t="s">
        <v>642</v>
      </c>
      <c r="F2" s="28" t="s">
        <v>643</v>
      </c>
      <c r="G2" s="28" t="s">
        <v>465</v>
      </c>
      <c r="H2" t="s">
        <v>644</v>
      </c>
    </row>
    <row r="3" spans="1:8">
      <c r="A3" s="28">
        <v>10003</v>
      </c>
      <c r="B3" s="28" t="s">
        <v>645</v>
      </c>
      <c r="C3" s="28" t="s">
        <v>646</v>
      </c>
      <c r="D3" s="28" t="s">
        <v>462</v>
      </c>
      <c r="E3" s="28" t="s">
        <v>647</v>
      </c>
      <c r="F3" s="28" t="s">
        <v>648</v>
      </c>
      <c r="G3" s="28" t="s">
        <v>465</v>
      </c>
      <c r="H3" t="s">
        <v>644</v>
      </c>
    </row>
    <row r="4" spans="1:8">
      <c r="A4" s="28">
        <v>10007</v>
      </c>
      <c r="B4" s="28" t="s">
        <v>649</v>
      </c>
      <c r="C4" s="28" t="s">
        <v>650</v>
      </c>
      <c r="D4" s="28" t="s">
        <v>462</v>
      </c>
      <c r="E4" s="28" t="s">
        <v>651</v>
      </c>
      <c r="F4" s="28" t="s">
        <v>652</v>
      </c>
      <c r="G4" s="28" t="s">
        <v>465</v>
      </c>
      <c r="H4" t="s">
        <v>644</v>
      </c>
    </row>
    <row r="5" spans="1:8">
      <c r="A5" s="28">
        <v>10009</v>
      </c>
      <c r="B5" s="28" t="s">
        <v>653</v>
      </c>
      <c r="C5" s="28" t="s">
        <v>654</v>
      </c>
      <c r="D5" s="28" t="s">
        <v>462</v>
      </c>
      <c r="E5" s="28" t="s">
        <v>655</v>
      </c>
      <c r="F5" s="28" t="s">
        <v>656</v>
      </c>
      <c r="G5" s="28" t="s">
        <v>465</v>
      </c>
      <c r="H5" t="s">
        <v>644</v>
      </c>
    </row>
    <row r="6" spans="1:8">
      <c r="A6" s="28">
        <v>10011</v>
      </c>
      <c r="B6" s="28" t="s">
        <v>657</v>
      </c>
      <c r="C6" s="28" t="s">
        <v>658</v>
      </c>
      <c r="D6" s="28" t="s">
        <v>462</v>
      </c>
      <c r="E6" s="28" t="s">
        <v>659</v>
      </c>
      <c r="F6" s="28" t="s">
        <v>660</v>
      </c>
      <c r="G6" s="28" t="s">
        <v>465</v>
      </c>
      <c r="H6" t="s">
        <v>644</v>
      </c>
    </row>
    <row r="7" spans="1:8">
      <c r="A7" s="28">
        <v>10013</v>
      </c>
      <c r="B7" s="28" t="s">
        <v>661</v>
      </c>
      <c r="C7" s="28" t="s">
        <v>662</v>
      </c>
      <c r="D7" s="28" t="s">
        <v>462</v>
      </c>
      <c r="E7" s="28" t="s">
        <v>663</v>
      </c>
      <c r="F7" s="28" t="s">
        <v>664</v>
      </c>
      <c r="G7" s="28" t="s">
        <v>465</v>
      </c>
      <c r="H7" t="s">
        <v>644</v>
      </c>
    </row>
    <row r="8" spans="1:8">
      <c r="A8" s="28">
        <v>10015</v>
      </c>
      <c r="B8" s="28" t="s">
        <v>665</v>
      </c>
      <c r="C8" s="28" t="s">
        <v>666</v>
      </c>
      <c r="D8" s="28" t="s">
        <v>462</v>
      </c>
      <c r="E8" s="28" t="s">
        <v>667</v>
      </c>
      <c r="F8" s="28" t="s">
        <v>668</v>
      </c>
      <c r="G8" s="28" t="s">
        <v>465</v>
      </c>
      <c r="H8" t="s">
        <v>644</v>
      </c>
    </row>
    <row r="9" spans="1:8">
      <c r="A9" s="28">
        <v>10019</v>
      </c>
      <c r="B9" s="28" t="s">
        <v>669</v>
      </c>
      <c r="C9" s="28" t="s">
        <v>670</v>
      </c>
      <c r="D9" s="28" t="s">
        <v>462</v>
      </c>
      <c r="E9" s="28" t="s">
        <v>671</v>
      </c>
      <c r="F9" s="28" t="s">
        <v>672</v>
      </c>
      <c r="G9" s="28" t="s">
        <v>465</v>
      </c>
      <c r="H9" t="s">
        <v>644</v>
      </c>
    </row>
    <row r="10" spans="1:8">
      <c r="A10" s="28">
        <v>10020</v>
      </c>
      <c r="B10" s="28" t="s">
        <v>673</v>
      </c>
      <c r="C10" s="28" t="s">
        <v>674</v>
      </c>
      <c r="D10" s="28" t="s">
        <v>462</v>
      </c>
      <c r="E10" s="28" t="s">
        <v>675</v>
      </c>
      <c r="F10" s="28" t="s">
        <v>676</v>
      </c>
      <c r="G10" s="28" t="s">
        <v>465</v>
      </c>
      <c r="H10" t="s">
        <v>644</v>
      </c>
    </row>
    <row r="11" spans="1:8">
      <c r="A11" s="28">
        <v>10030</v>
      </c>
      <c r="B11" s="28" t="s">
        <v>677</v>
      </c>
      <c r="C11" s="28" t="s">
        <v>678</v>
      </c>
      <c r="D11" s="28" t="s">
        <v>462</v>
      </c>
      <c r="E11" s="28" t="s">
        <v>679</v>
      </c>
      <c r="F11" s="28" t="s">
        <v>680</v>
      </c>
      <c r="G11" s="28" t="s">
        <v>465</v>
      </c>
      <c r="H11" t="s">
        <v>644</v>
      </c>
    </row>
    <row r="12" spans="1:8">
      <c r="A12" s="28">
        <v>10031</v>
      </c>
      <c r="B12" s="28" t="s">
        <v>681</v>
      </c>
      <c r="C12" s="28" t="s">
        <v>658</v>
      </c>
      <c r="D12" s="28" t="s">
        <v>462</v>
      </c>
      <c r="E12" s="28" t="s">
        <v>682</v>
      </c>
      <c r="F12" s="28" t="s">
        <v>683</v>
      </c>
      <c r="G12" s="28" t="s">
        <v>465</v>
      </c>
      <c r="H12" t="s">
        <v>644</v>
      </c>
    </row>
    <row r="13" spans="1:8">
      <c r="A13" s="28">
        <v>10032</v>
      </c>
      <c r="B13" s="28" t="s">
        <v>684</v>
      </c>
      <c r="C13" s="28" t="s">
        <v>685</v>
      </c>
      <c r="D13" s="28" t="s">
        <v>462</v>
      </c>
      <c r="E13" s="28" t="s">
        <v>686</v>
      </c>
      <c r="F13" s="28" t="s">
        <v>687</v>
      </c>
      <c r="G13" s="28" t="s">
        <v>465</v>
      </c>
    </row>
    <row r="14" spans="1:8">
      <c r="A14" s="28">
        <v>10038</v>
      </c>
      <c r="B14" s="28" t="s">
        <v>688</v>
      </c>
      <c r="C14" s="28" t="s">
        <v>689</v>
      </c>
      <c r="D14" s="28" t="s">
        <v>462</v>
      </c>
      <c r="E14" s="28" t="s">
        <v>690</v>
      </c>
      <c r="F14" s="28" t="s">
        <v>691</v>
      </c>
      <c r="G14" s="28" t="s">
        <v>465</v>
      </c>
    </row>
    <row r="15" spans="1:8">
      <c r="A15" s="28">
        <v>10039</v>
      </c>
      <c r="B15" s="28" t="s">
        <v>692</v>
      </c>
      <c r="C15" s="28" t="s">
        <v>693</v>
      </c>
      <c r="D15" s="28" t="s">
        <v>462</v>
      </c>
      <c r="E15" s="28" t="s">
        <v>694</v>
      </c>
      <c r="F15" s="28" t="s">
        <v>695</v>
      </c>
      <c r="G15" s="28" t="s">
        <v>465</v>
      </c>
    </row>
    <row r="16" spans="1:8">
      <c r="A16" s="28">
        <v>10043</v>
      </c>
      <c r="B16" s="28" t="s">
        <v>696</v>
      </c>
      <c r="C16" s="28" t="s">
        <v>697</v>
      </c>
      <c r="D16" s="28" t="s">
        <v>462</v>
      </c>
      <c r="E16" s="28" t="s">
        <v>698</v>
      </c>
      <c r="F16" s="28" t="s">
        <v>699</v>
      </c>
      <c r="G16" s="28" t="s">
        <v>465</v>
      </c>
    </row>
    <row r="17" spans="1:7">
      <c r="A17" s="28">
        <v>10045</v>
      </c>
      <c r="B17" s="28" t="s">
        <v>700</v>
      </c>
      <c r="C17" s="28" t="s">
        <v>701</v>
      </c>
      <c r="D17" s="28" t="s">
        <v>462</v>
      </c>
      <c r="E17" s="28" t="s">
        <v>702</v>
      </c>
      <c r="F17" s="28" t="s">
        <v>703</v>
      </c>
      <c r="G17" s="28" t="s">
        <v>465</v>
      </c>
    </row>
    <row r="18" spans="1:7">
      <c r="A18" s="28">
        <v>10046</v>
      </c>
      <c r="B18" s="28" t="s">
        <v>704</v>
      </c>
      <c r="C18" s="28" t="s">
        <v>705</v>
      </c>
      <c r="D18" s="28" t="s">
        <v>462</v>
      </c>
      <c r="E18" s="28" t="s">
        <v>706</v>
      </c>
      <c r="F18" s="28" t="s">
        <v>707</v>
      </c>
      <c r="G18" s="28" t="s">
        <v>465</v>
      </c>
    </row>
    <row r="19" spans="1:7">
      <c r="A19" s="28">
        <v>10048</v>
      </c>
      <c r="B19" s="28" t="s">
        <v>708</v>
      </c>
      <c r="C19" s="28" t="s">
        <v>709</v>
      </c>
      <c r="D19" s="28" t="s">
        <v>462</v>
      </c>
      <c r="E19" s="28" t="s">
        <v>710</v>
      </c>
      <c r="F19" s="28" t="s">
        <v>711</v>
      </c>
      <c r="G19" s="28" t="s">
        <v>465</v>
      </c>
    </row>
    <row r="20" spans="1:7">
      <c r="A20" s="28">
        <v>10049</v>
      </c>
      <c r="B20" s="28" t="s">
        <v>712</v>
      </c>
      <c r="C20" s="28" t="s">
        <v>713</v>
      </c>
      <c r="D20" s="28" t="s">
        <v>462</v>
      </c>
      <c r="E20" s="28" t="s">
        <v>714</v>
      </c>
      <c r="F20" s="28" t="s">
        <v>715</v>
      </c>
      <c r="G20" s="28" t="s">
        <v>465</v>
      </c>
    </row>
    <row r="21" spans="1:7">
      <c r="A21" s="28">
        <v>10052</v>
      </c>
      <c r="B21" s="28" t="s">
        <v>716</v>
      </c>
      <c r="C21" s="28" t="s">
        <v>717</v>
      </c>
      <c r="D21" s="28" t="s">
        <v>462</v>
      </c>
      <c r="E21" s="28" t="s">
        <v>718</v>
      </c>
      <c r="F21" s="28" t="s">
        <v>719</v>
      </c>
      <c r="G21" s="28" t="s">
        <v>465</v>
      </c>
    </row>
    <row r="22" spans="1:7">
      <c r="A22" s="28">
        <v>10054</v>
      </c>
      <c r="B22" s="28" t="s">
        <v>720</v>
      </c>
      <c r="C22" s="28" t="s">
        <v>721</v>
      </c>
      <c r="D22" s="28" t="s">
        <v>462</v>
      </c>
      <c r="E22" s="28" t="s">
        <v>722</v>
      </c>
      <c r="F22" s="28" t="s">
        <v>723</v>
      </c>
      <c r="G22" s="28" t="s">
        <v>465</v>
      </c>
    </row>
    <row r="23" spans="1:7">
      <c r="A23" s="28">
        <v>10055</v>
      </c>
      <c r="B23" s="28" t="s">
        <v>724</v>
      </c>
      <c r="C23" s="28" t="s">
        <v>725</v>
      </c>
      <c r="D23" s="28" t="s">
        <v>462</v>
      </c>
      <c r="E23" s="28" t="s">
        <v>726</v>
      </c>
      <c r="F23" s="28" t="s">
        <v>727</v>
      </c>
      <c r="G23" s="28" t="s">
        <v>465</v>
      </c>
    </row>
    <row r="24" spans="1:7">
      <c r="A24" s="28">
        <v>10064</v>
      </c>
      <c r="B24" s="28" t="s">
        <v>728</v>
      </c>
      <c r="C24" s="28" t="s">
        <v>729</v>
      </c>
      <c r="D24" s="28" t="s">
        <v>462</v>
      </c>
      <c r="E24" s="28" t="s">
        <v>730</v>
      </c>
      <c r="F24" s="28" t="s">
        <v>731</v>
      </c>
      <c r="G24" s="28" t="s">
        <v>465</v>
      </c>
    </row>
    <row r="25" spans="1:7">
      <c r="A25" s="28">
        <v>10078</v>
      </c>
      <c r="B25" s="28" t="s">
        <v>732</v>
      </c>
      <c r="C25" s="28" t="s">
        <v>733</v>
      </c>
      <c r="D25" s="28" t="s">
        <v>462</v>
      </c>
      <c r="E25" s="28" t="s">
        <v>734</v>
      </c>
      <c r="F25" s="28" t="s">
        <v>735</v>
      </c>
      <c r="G25" s="28" t="s">
        <v>465</v>
      </c>
    </row>
    <row r="26" spans="1:7">
      <c r="A26" s="28">
        <v>10082</v>
      </c>
      <c r="B26" s="28" t="s">
        <v>736</v>
      </c>
      <c r="C26" s="28" t="s">
        <v>737</v>
      </c>
      <c r="D26" s="28" t="s">
        <v>462</v>
      </c>
      <c r="E26" s="28" t="s">
        <v>738</v>
      </c>
      <c r="F26" s="28" t="s">
        <v>739</v>
      </c>
      <c r="G26" s="28" t="s">
        <v>465</v>
      </c>
    </row>
    <row r="27" spans="1:7">
      <c r="A27" s="28">
        <v>10084</v>
      </c>
      <c r="B27" s="28" t="s">
        <v>740</v>
      </c>
      <c r="C27" s="28" t="s">
        <v>741</v>
      </c>
      <c r="D27" s="28" t="s">
        <v>462</v>
      </c>
      <c r="E27" s="28" t="s">
        <v>742</v>
      </c>
      <c r="F27" s="28" t="s">
        <v>743</v>
      </c>
      <c r="G27" s="28" t="s">
        <v>465</v>
      </c>
    </row>
    <row r="28" spans="1:7">
      <c r="A28" s="28">
        <v>10085</v>
      </c>
      <c r="B28" s="28" t="s">
        <v>744</v>
      </c>
      <c r="C28" s="28" t="s">
        <v>745</v>
      </c>
      <c r="D28" s="28" t="s">
        <v>462</v>
      </c>
      <c r="E28" s="28" t="s">
        <v>746</v>
      </c>
      <c r="F28" s="28" t="s">
        <v>747</v>
      </c>
      <c r="G28" s="28" t="s">
        <v>465</v>
      </c>
    </row>
    <row r="29" spans="1:7">
      <c r="A29" s="28">
        <v>10087</v>
      </c>
      <c r="B29" s="28" t="s">
        <v>748</v>
      </c>
      <c r="C29" s="28" t="s">
        <v>749</v>
      </c>
      <c r="D29" s="28" t="s">
        <v>462</v>
      </c>
      <c r="E29" s="28" t="s">
        <v>750</v>
      </c>
      <c r="F29" s="28" t="s">
        <v>751</v>
      </c>
      <c r="G29" s="28" t="s">
        <v>465</v>
      </c>
    </row>
    <row r="30" spans="1:7">
      <c r="A30" s="28">
        <v>10088</v>
      </c>
      <c r="B30" s="28" t="s">
        <v>752</v>
      </c>
      <c r="C30" s="28" t="s">
        <v>753</v>
      </c>
      <c r="D30" s="28" t="s">
        <v>462</v>
      </c>
      <c r="E30" s="28" t="s">
        <v>754</v>
      </c>
      <c r="F30" s="28" t="s">
        <v>755</v>
      </c>
      <c r="G30" s="28" t="s">
        <v>465</v>
      </c>
    </row>
    <row r="31" spans="1:7">
      <c r="A31" s="28">
        <v>10093</v>
      </c>
      <c r="B31" s="28" t="s">
        <v>756</v>
      </c>
      <c r="C31" s="28" t="s">
        <v>757</v>
      </c>
      <c r="D31" s="28" t="s">
        <v>462</v>
      </c>
      <c r="E31" s="28" t="s">
        <v>758</v>
      </c>
      <c r="F31" s="28" t="s">
        <v>759</v>
      </c>
      <c r="G31" s="28" t="s">
        <v>465</v>
      </c>
    </row>
    <row r="32" spans="1:7">
      <c r="A32" s="28">
        <v>10094</v>
      </c>
      <c r="B32" s="28" t="s">
        <v>760</v>
      </c>
      <c r="C32" s="28" t="s">
        <v>761</v>
      </c>
      <c r="D32" s="28" t="s">
        <v>462</v>
      </c>
      <c r="E32" s="28" t="s">
        <v>762</v>
      </c>
      <c r="F32" s="28" t="s">
        <v>763</v>
      </c>
      <c r="G32" s="28" t="s">
        <v>465</v>
      </c>
    </row>
    <row r="33" spans="1:7">
      <c r="A33" s="28">
        <v>10095</v>
      </c>
      <c r="B33" s="28" t="s">
        <v>764</v>
      </c>
      <c r="C33" s="28" t="s">
        <v>765</v>
      </c>
      <c r="D33" s="28" t="s">
        <v>462</v>
      </c>
      <c r="E33" s="28" t="s">
        <v>766</v>
      </c>
      <c r="F33" s="28" t="s">
        <v>767</v>
      </c>
      <c r="G33" s="28" t="s">
        <v>465</v>
      </c>
    </row>
    <row r="34" spans="1:7">
      <c r="A34" s="28">
        <v>10097</v>
      </c>
      <c r="B34" s="28" t="s">
        <v>768</v>
      </c>
      <c r="C34" s="28" t="s">
        <v>769</v>
      </c>
      <c r="D34" s="28" t="s">
        <v>462</v>
      </c>
      <c r="E34" s="28" t="s">
        <v>770</v>
      </c>
      <c r="F34" s="28" t="s">
        <v>771</v>
      </c>
      <c r="G34" s="28" t="s">
        <v>465</v>
      </c>
    </row>
    <row r="35" spans="1:7">
      <c r="A35" s="28">
        <v>10100</v>
      </c>
      <c r="B35" s="28" t="s">
        <v>772</v>
      </c>
      <c r="C35" s="28" t="s">
        <v>773</v>
      </c>
      <c r="D35" s="28" t="s">
        <v>462</v>
      </c>
      <c r="E35" s="28" t="s">
        <v>774</v>
      </c>
      <c r="F35" s="28" t="s">
        <v>775</v>
      </c>
      <c r="G35" s="28" t="s">
        <v>465</v>
      </c>
    </row>
    <row r="36" spans="1:7">
      <c r="A36" s="28">
        <v>10104</v>
      </c>
      <c r="B36" s="28" t="s">
        <v>776</v>
      </c>
      <c r="C36" s="28" t="s">
        <v>777</v>
      </c>
      <c r="D36" s="28" t="s">
        <v>462</v>
      </c>
      <c r="E36" s="28" t="s">
        <v>778</v>
      </c>
      <c r="F36" s="28" t="s">
        <v>779</v>
      </c>
      <c r="G36" s="28" t="s">
        <v>465</v>
      </c>
    </row>
    <row r="37" spans="1:7">
      <c r="A37" s="28">
        <v>10107</v>
      </c>
      <c r="B37" s="28" t="s">
        <v>780</v>
      </c>
      <c r="C37" s="28" t="s">
        <v>781</v>
      </c>
      <c r="D37" s="28" t="s">
        <v>462</v>
      </c>
      <c r="E37" s="28" t="s">
        <v>782</v>
      </c>
      <c r="F37" s="28" t="s">
        <v>783</v>
      </c>
      <c r="G37" s="28" t="s">
        <v>465</v>
      </c>
    </row>
    <row r="38" spans="1:7">
      <c r="A38" s="28">
        <v>10109</v>
      </c>
      <c r="B38" s="28" t="s">
        <v>784</v>
      </c>
      <c r="C38" s="28" t="s">
        <v>785</v>
      </c>
      <c r="D38" s="28" t="s">
        <v>462</v>
      </c>
      <c r="E38" s="28" t="s">
        <v>786</v>
      </c>
      <c r="F38" s="28" t="s">
        <v>787</v>
      </c>
      <c r="G38" s="28" t="s">
        <v>465</v>
      </c>
    </row>
    <row r="39" spans="1:7">
      <c r="A39" s="28">
        <v>10116</v>
      </c>
      <c r="B39" s="28" t="s">
        <v>788</v>
      </c>
      <c r="C39" s="28" t="s">
        <v>789</v>
      </c>
      <c r="D39" s="28" t="s">
        <v>462</v>
      </c>
      <c r="E39" s="28" t="s">
        <v>790</v>
      </c>
      <c r="F39" s="28" t="s">
        <v>791</v>
      </c>
      <c r="G39" s="28" t="s">
        <v>465</v>
      </c>
    </row>
    <row r="40" spans="1:7">
      <c r="A40" s="28">
        <v>10120</v>
      </c>
      <c r="B40" s="28" t="s">
        <v>792</v>
      </c>
      <c r="C40" s="28" t="s">
        <v>793</v>
      </c>
      <c r="D40" s="28" t="s">
        <v>462</v>
      </c>
      <c r="E40" s="28" t="s">
        <v>794</v>
      </c>
      <c r="F40" s="28" t="s">
        <v>795</v>
      </c>
      <c r="G40" s="28" t="s">
        <v>465</v>
      </c>
    </row>
    <row r="41" spans="1:7">
      <c r="A41" s="28">
        <v>10130</v>
      </c>
      <c r="B41" s="28" t="s">
        <v>796</v>
      </c>
      <c r="C41" s="28" t="s">
        <v>797</v>
      </c>
      <c r="D41" s="28" t="s">
        <v>462</v>
      </c>
      <c r="E41" s="28" t="s">
        <v>798</v>
      </c>
      <c r="F41" s="28" t="s">
        <v>799</v>
      </c>
      <c r="G41" s="28" t="s">
        <v>465</v>
      </c>
    </row>
    <row r="42" spans="1:7">
      <c r="A42" s="28">
        <v>10132</v>
      </c>
      <c r="B42" s="28" t="s">
        <v>800</v>
      </c>
      <c r="C42" s="28" t="s">
        <v>801</v>
      </c>
      <c r="D42" s="28" t="s">
        <v>462</v>
      </c>
      <c r="E42" s="28" t="s">
        <v>802</v>
      </c>
      <c r="F42" s="28" t="s">
        <v>803</v>
      </c>
      <c r="G42" s="28" t="s">
        <v>465</v>
      </c>
    </row>
    <row r="43" spans="1:7">
      <c r="A43" s="28">
        <v>10139</v>
      </c>
      <c r="B43" s="28" t="s">
        <v>804</v>
      </c>
      <c r="C43" s="28" t="s">
        <v>805</v>
      </c>
      <c r="D43" s="28" t="s">
        <v>462</v>
      </c>
      <c r="E43" s="28" t="s">
        <v>806</v>
      </c>
      <c r="F43" s="28" t="s">
        <v>807</v>
      </c>
      <c r="G43" s="28" t="s">
        <v>465</v>
      </c>
    </row>
    <row r="44" spans="1:7">
      <c r="A44" s="28">
        <v>10143</v>
      </c>
      <c r="B44" s="28" t="s">
        <v>808</v>
      </c>
      <c r="C44" s="28" t="s">
        <v>809</v>
      </c>
      <c r="D44" s="28" t="s">
        <v>462</v>
      </c>
      <c r="E44" s="28" t="s">
        <v>810</v>
      </c>
      <c r="F44" s="28" t="s">
        <v>811</v>
      </c>
      <c r="G44" s="28" t="s">
        <v>465</v>
      </c>
    </row>
    <row r="45" spans="1:7">
      <c r="A45" s="28">
        <v>10149</v>
      </c>
      <c r="B45" s="28" t="s">
        <v>812</v>
      </c>
      <c r="C45" s="28" t="s">
        <v>813</v>
      </c>
      <c r="D45" s="28" t="s">
        <v>462</v>
      </c>
      <c r="E45" s="28" t="s">
        <v>814</v>
      </c>
      <c r="F45" s="28" t="s">
        <v>815</v>
      </c>
      <c r="G45" s="28" t="s">
        <v>465</v>
      </c>
    </row>
    <row r="46" spans="1:7">
      <c r="A46" s="28">
        <v>10154</v>
      </c>
      <c r="B46" s="28" t="s">
        <v>816</v>
      </c>
      <c r="C46" s="28" t="s">
        <v>817</v>
      </c>
      <c r="D46" s="28" t="s">
        <v>462</v>
      </c>
      <c r="E46" s="28" t="s">
        <v>818</v>
      </c>
      <c r="F46" s="28" t="s">
        <v>819</v>
      </c>
      <c r="G46" s="28" t="s">
        <v>465</v>
      </c>
    </row>
    <row r="47" spans="1:7">
      <c r="A47" s="28">
        <v>10183</v>
      </c>
      <c r="B47" s="28" t="s">
        <v>820</v>
      </c>
      <c r="C47" s="28" t="s">
        <v>821</v>
      </c>
      <c r="D47" s="28" t="s">
        <v>462</v>
      </c>
      <c r="E47" s="28" t="s">
        <v>822</v>
      </c>
      <c r="F47" s="28" t="s">
        <v>823</v>
      </c>
      <c r="G47" s="28" t="s">
        <v>465</v>
      </c>
    </row>
    <row r="48" spans="1:7">
      <c r="A48" s="28">
        <v>10187</v>
      </c>
      <c r="B48" s="28" t="s">
        <v>824</v>
      </c>
      <c r="C48" s="28" t="s">
        <v>825</v>
      </c>
      <c r="D48" s="28" t="s">
        <v>462</v>
      </c>
      <c r="E48" s="28" t="s">
        <v>826</v>
      </c>
      <c r="F48" s="28" t="s">
        <v>827</v>
      </c>
      <c r="G48" s="28" t="s">
        <v>465</v>
      </c>
    </row>
    <row r="49" spans="1:7">
      <c r="A49" s="28">
        <v>10190</v>
      </c>
      <c r="B49" s="28" t="s">
        <v>724</v>
      </c>
      <c r="C49" s="28" t="s">
        <v>828</v>
      </c>
      <c r="D49" s="28" t="s">
        <v>462</v>
      </c>
      <c r="E49" s="28" t="s">
        <v>829</v>
      </c>
      <c r="F49" s="28" t="s">
        <v>830</v>
      </c>
      <c r="G49" s="28" t="s">
        <v>465</v>
      </c>
    </row>
    <row r="50" spans="1:7">
      <c r="A50" s="28">
        <v>10191</v>
      </c>
      <c r="B50" s="28" t="s">
        <v>831</v>
      </c>
      <c r="C50" s="28" t="s">
        <v>832</v>
      </c>
      <c r="D50" s="28" t="s">
        <v>462</v>
      </c>
      <c r="E50" s="28" t="s">
        <v>833</v>
      </c>
      <c r="F50" s="28" t="s">
        <v>834</v>
      </c>
      <c r="G50" s="28" t="s">
        <v>465</v>
      </c>
    </row>
    <row r="51" spans="1:7">
      <c r="A51" s="28">
        <v>10192</v>
      </c>
      <c r="B51" s="28" t="s">
        <v>835</v>
      </c>
      <c r="C51" s="28" t="s">
        <v>836</v>
      </c>
      <c r="D51" s="28" t="s">
        <v>462</v>
      </c>
      <c r="E51" s="28" t="s">
        <v>837</v>
      </c>
      <c r="F51" s="28" t="s">
        <v>838</v>
      </c>
      <c r="G51" s="28" t="s">
        <v>465</v>
      </c>
    </row>
    <row r="52" spans="1:7">
      <c r="A52" s="28">
        <v>10199</v>
      </c>
      <c r="B52" s="28" t="s">
        <v>839</v>
      </c>
      <c r="C52" s="28" t="s">
        <v>840</v>
      </c>
      <c r="D52" s="28" t="s">
        <v>462</v>
      </c>
      <c r="E52" s="28" t="s">
        <v>841</v>
      </c>
      <c r="F52" s="28" t="s">
        <v>842</v>
      </c>
      <c r="G52" s="28" t="s">
        <v>465</v>
      </c>
    </row>
    <row r="53" spans="1:7">
      <c r="A53" s="28">
        <v>10203</v>
      </c>
      <c r="B53" s="28" t="s">
        <v>843</v>
      </c>
      <c r="C53" s="28" t="s">
        <v>836</v>
      </c>
      <c r="D53" s="28" t="s">
        <v>462</v>
      </c>
      <c r="E53" s="28" t="s">
        <v>844</v>
      </c>
      <c r="F53" s="28" t="s">
        <v>845</v>
      </c>
      <c r="G53" s="28" t="s">
        <v>465</v>
      </c>
    </row>
    <row r="54" spans="1:7">
      <c r="A54" s="28">
        <v>10204</v>
      </c>
      <c r="B54" s="28" t="s">
        <v>846</v>
      </c>
      <c r="C54" s="28" t="s">
        <v>847</v>
      </c>
      <c r="D54" s="28" t="s">
        <v>462</v>
      </c>
      <c r="E54" s="28" t="s">
        <v>848</v>
      </c>
      <c r="F54" s="28" t="s">
        <v>849</v>
      </c>
      <c r="G54" s="28" t="s">
        <v>465</v>
      </c>
    </row>
    <row r="55" spans="1:7">
      <c r="A55" s="28">
        <v>10206</v>
      </c>
      <c r="B55" s="28" t="s">
        <v>850</v>
      </c>
      <c r="C55" s="28" t="s">
        <v>851</v>
      </c>
      <c r="D55" s="28" t="s">
        <v>462</v>
      </c>
      <c r="E55" s="28" t="s">
        <v>852</v>
      </c>
      <c r="F55" s="28" t="s">
        <v>853</v>
      </c>
      <c r="G55" s="28" t="s">
        <v>465</v>
      </c>
    </row>
    <row r="56" spans="1:7">
      <c r="A56" s="28">
        <v>10234</v>
      </c>
      <c r="B56" s="28" t="s">
        <v>854</v>
      </c>
      <c r="C56" s="28" t="s">
        <v>855</v>
      </c>
      <c r="D56" s="28" t="s">
        <v>462</v>
      </c>
      <c r="E56" s="28" t="s">
        <v>856</v>
      </c>
      <c r="F56" s="28" t="s">
        <v>857</v>
      </c>
      <c r="G56" s="28" t="s">
        <v>465</v>
      </c>
    </row>
    <row r="57" spans="1:7">
      <c r="A57" s="28">
        <v>10236</v>
      </c>
      <c r="B57" s="28" t="s">
        <v>858</v>
      </c>
      <c r="C57" s="28" t="s">
        <v>859</v>
      </c>
      <c r="D57" s="28" t="s">
        <v>462</v>
      </c>
      <c r="E57" s="28" t="s">
        <v>860</v>
      </c>
      <c r="F57" s="28" t="s">
        <v>861</v>
      </c>
      <c r="G57" s="28" t="s">
        <v>465</v>
      </c>
    </row>
    <row r="58" spans="1:7">
      <c r="A58" s="28">
        <v>10245</v>
      </c>
      <c r="B58" s="28" t="s">
        <v>688</v>
      </c>
      <c r="C58" s="28" t="s">
        <v>862</v>
      </c>
      <c r="D58" s="28" t="s">
        <v>462</v>
      </c>
      <c r="E58" s="28" t="s">
        <v>863</v>
      </c>
      <c r="F58" s="28" t="s">
        <v>864</v>
      </c>
      <c r="G58" s="28" t="s">
        <v>465</v>
      </c>
    </row>
    <row r="59" spans="1:7">
      <c r="A59" s="28">
        <v>10254</v>
      </c>
      <c r="B59" s="28" t="s">
        <v>865</v>
      </c>
      <c r="C59" s="28" t="s">
        <v>866</v>
      </c>
      <c r="D59" s="28" t="s">
        <v>462</v>
      </c>
      <c r="E59" s="28" t="s">
        <v>867</v>
      </c>
      <c r="F59" s="28" t="s">
        <v>868</v>
      </c>
      <c r="G59" s="28" t="s">
        <v>465</v>
      </c>
    </row>
    <row r="60" spans="1:7">
      <c r="A60" s="28">
        <v>10261</v>
      </c>
      <c r="B60" s="28" t="s">
        <v>869</v>
      </c>
      <c r="C60" s="28" t="s">
        <v>870</v>
      </c>
      <c r="D60" s="28" t="s">
        <v>462</v>
      </c>
      <c r="E60" s="28" t="s">
        <v>871</v>
      </c>
      <c r="F60" s="28" t="s">
        <v>872</v>
      </c>
      <c r="G60" s="28" t="s">
        <v>465</v>
      </c>
    </row>
    <row r="61" spans="1:7">
      <c r="A61" s="28">
        <v>10271</v>
      </c>
      <c r="B61" s="28" t="s">
        <v>873</v>
      </c>
      <c r="C61" s="28" t="s">
        <v>874</v>
      </c>
      <c r="D61" s="28" t="s">
        <v>462</v>
      </c>
      <c r="E61" s="28" t="s">
        <v>875</v>
      </c>
      <c r="F61" s="28" t="s">
        <v>876</v>
      </c>
      <c r="G61" s="28" t="s">
        <v>465</v>
      </c>
    </row>
    <row r="62" spans="1:7">
      <c r="A62" s="28">
        <v>10279</v>
      </c>
      <c r="B62" s="28" t="s">
        <v>877</v>
      </c>
      <c r="C62" s="28" t="s">
        <v>878</v>
      </c>
      <c r="D62" s="28" t="s">
        <v>462</v>
      </c>
      <c r="E62" s="28" t="s">
        <v>879</v>
      </c>
      <c r="F62" s="28" t="s">
        <v>880</v>
      </c>
      <c r="G62" s="28" t="s">
        <v>465</v>
      </c>
    </row>
    <row r="63" spans="1:7">
      <c r="A63" s="28">
        <v>10288</v>
      </c>
      <c r="B63" s="28" t="s">
        <v>881</v>
      </c>
      <c r="C63" s="28" t="s">
        <v>882</v>
      </c>
      <c r="D63" s="28" t="s">
        <v>462</v>
      </c>
      <c r="E63" s="28" t="s">
        <v>883</v>
      </c>
      <c r="F63" s="28" t="s">
        <v>884</v>
      </c>
      <c r="G63" s="28" t="s">
        <v>465</v>
      </c>
    </row>
    <row r="64" spans="1:7">
      <c r="A64" s="28">
        <v>10297</v>
      </c>
      <c r="B64" s="28" t="s">
        <v>885</v>
      </c>
      <c r="C64" s="28" t="s">
        <v>886</v>
      </c>
      <c r="D64" s="28" t="s">
        <v>462</v>
      </c>
      <c r="E64" s="28" t="s">
        <v>887</v>
      </c>
      <c r="F64" s="28" t="s">
        <v>888</v>
      </c>
      <c r="G64" s="28" t="s">
        <v>465</v>
      </c>
    </row>
    <row r="65" spans="1:7">
      <c r="A65" s="28">
        <v>10301</v>
      </c>
      <c r="B65" s="28" t="s">
        <v>889</v>
      </c>
      <c r="C65" s="28" t="s">
        <v>890</v>
      </c>
      <c r="D65" s="28" t="s">
        <v>462</v>
      </c>
      <c r="E65" s="28" t="s">
        <v>891</v>
      </c>
      <c r="F65" s="28" t="s">
        <v>892</v>
      </c>
      <c r="G65" s="28" t="s">
        <v>465</v>
      </c>
    </row>
    <row r="66" spans="1:7">
      <c r="A66" s="28">
        <v>10305</v>
      </c>
      <c r="B66" s="28" t="s">
        <v>893</v>
      </c>
      <c r="C66" s="28" t="s">
        <v>894</v>
      </c>
      <c r="D66" s="28" t="s">
        <v>462</v>
      </c>
      <c r="E66" s="28" t="s">
        <v>895</v>
      </c>
      <c r="F66" s="28" t="s">
        <v>896</v>
      </c>
      <c r="G66" s="28" t="s">
        <v>465</v>
      </c>
    </row>
    <row r="67" spans="1:7">
      <c r="A67" s="28">
        <v>10310</v>
      </c>
      <c r="B67" s="28" t="s">
        <v>897</v>
      </c>
      <c r="C67" s="28" t="s">
        <v>898</v>
      </c>
      <c r="D67" s="28" t="s">
        <v>462</v>
      </c>
      <c r="E67" s="28" t="s">
        <v>899</v>
      </c>
      <c r="F67" s="28" t="s">
        <v>900</v>
      </c>
      <c r="G67" s="28" t="s">
        <v>465</v>
      </c>
    </row>
    <row r="68" spans="1:7">
      <c r="A68" s="28">
        <v>10324</v>
      </c>
      <c r="B68" s="28" t="s">
        <v>901</v>
      </c>
      <c r="C68" s="28" t="s">
        <v>902</v>
      </c>
      <c r="D68" s="28" t="s">
        <v>462</v>
      </c>
      <c r="E68" s="28" t="s">
        <v>903</v>
      </c>
      <c r="F68" s="28" t="s">
        <v>904</v>
      </c>
      <c r="G68" s="28" t="s">
        <v>465</v>
      </c>
    </row>
    <row r="69" spans="1:7">
      <c r="A69" s="28">
        <v>10330</v>
      </c>
      <c r="B69" s="28" t="s">
        <v>905</v>
      </c>
      <c r="C69" s="28" t="s">
        <v>906</v>
      </c>
      <c r="D69" s="28" t="s">
        <v>462</v>
      </c>
      <c r="E69" s="28" t="s">
        <v>907</v>
      </c>
      <c r="F69" s="28" t="s">
        <v>908</v>
      </c>
      <c r="G69" s="28" t="s">
        <v>465</v>
      </c>
    </row>
    <row r="70" spans="1:7">
      <c r="A70" s="28">
        <v>10332</v>
      </c>
      <c r="B70" s="28" t="s">
        <v>909</v>
      </c>
      <c r="C70" s="28" t="s">
        <v>910</v>
      </c>
      <c r="D70" s="28" t="s">
        <v>462</v>
      </c>
      <c r="E70" s="28" t="s">
        <v>911</v>
      </c>
      <c r="F70" s="28" t="s">
        <v>912</v>
      </c>
      <c r="G70" s="28" t="s">
        <v>465</v>
      </c>
    </row>
    <row r="71" spans="1:7">
      <c r="A71" s="28">
        <v>10333</v>
      </c>
      <c r="B71" s="28" t="s">
        <v>913</v>
      </c>
      <c r="C71" s="28" t="s">
        <v>914</v>
      </c>
      <c r="D71" s="28" t="s">
        <v>462</v>
      </c>
      <c r="E71" s="28" t="s">
        <v>915</v>
      </c>
      <c r="F71" s="28" t="s">
        <v>916</v>
      </c>
      <c r="G71" s="28" t="s">
        <v>465</v>
      </c>
    </row>
    <row r="72" spans="1:7">
      <c r="A72" s="28">
        <v>10335</v>
      </c>
      <c r="B72" s="28" t="s">
        <v>917</v>
      </c>
      <c r="C72" s="28" t="s">
        <v>918</v>
      </c>
      <c r="D72" s="28" t="s">
        <v>462</v>
      </c>
      <c r="E72" s="28" t="s">
        <v>919</v>
      </c>
      <c r="F72" s="28" t="s">
        <v>920</v>
      </c>
      <c r="G72" s="28" t="s">
        <v>465</v>
      </c>
    </row>
    <row r="73" spans="1:7">
      <c r="A73" s="28">
        <v>10363</v>
      </c>
      <c r="B73" s="28" t="s">
        <v>921</v>
      </c>
      <c r="C73" s="28" t="s">
        <v>922</v>
      </c>
      <c r="D73" s="28" t="s">
        <v>462</v>
      </c>
      <c r="E73" s="28" t="s">
        <v>923</v>
      </c>
      <c r="F73" s="28" t="s">
        <v>924</v>
      </c>
      <c r="G73" s="28" t="s">
        <v>465</v>
      </c>
    </row>
    <row r="74" spans="1:7">
      <c r="A74" s="28">
        <v>10375</v>
      </c>
      <c r="B74" s="28" t="s">
        <v>925</v>
      </c>
      <c r="C74" s="28" t="s">
        <v>926</v>
      </c>
      <c r="D74" s="28" t="s">
        <v>462</v>
      </c>
      <c r="E74" s="28" t="s">
        <v>927</v>
      </c>
      <c r="F74" s="28" t="s">
        <v>928</v>
      </c>
      <c r="G74" s="28" t="s">
        <v>465</v>
      </c>
    </row>
    <row r="75" spans="1:7">
      <c r="A75" s="28">
        <v>10377</v>
      </c>
      <c r="B75" s="28" t="s">
        <v>929</v>
      </c>
      <c r="C75" s="28" t="s">
        <v>930</v>
      </c>
      <c r="D75" s="28" t="s">
        <v>462</v>
      </c>
      <c r="E75" s="28" t="s">
        <v>931</v>
      </c>
      <c r="F75" s="28" t="s">
        <v>932</v>
      </c>
      <c r="G75" s="28" t="s">
        <v>465</v>
      </c>
    </row>
    <row r="76" spans="1:7">
      <c r="A76" s="28">
        <v>10382</v>
      </c>
      <c r="B76" s="28" t="s">
        <v>933</v>
      </c>
      <c r="C76" s="28" t="s">
        <v>934</v>
      </c>
      <c r="D76" s="28" t="s">
        <v>462</v>
      </c>
      <c r="E76" s="28" t="s">
        <v>935</v>
      </c>
      <c r="F76" s="28" t="s">
        <v>936</v>
      </c>
      <c r="G76" s="28" t="s">
        <v>465</v>
      </c>
    </row>
    <row r="77" spans="1:7">
      <c r="A77" s="28">
        <v>10386</v>
      </c>
      <c r="B77" s="28" t="s">
        <v>937</v>
      </c>
      <c r="C77" s="28" t="s">
        <v>938</v>
      </c>
      <c r="D77" s="28" t="s">
        <v>462</v>
      </c>
      <c r="E77" s="28" t="s">
        <v>939</v>
      </c>
      <c r="F77" s="28" t="s">
        <v>940</v>
      </c>
      <c r="G77" s="28" t="s">
        <v>465</v>
      </c>
    </row>
    <row r="78" spans="1:7">
      <c r="A78" s="28">
        <v>10395</v>
      </c>
      <c r="B78" s="28" t="s">
        <v>941</v>
      </c>
      <c r="C78" s="28" t="s">
        <v>942</v>
      </c>
      <c r="D78" s="28" t="s">
        <v>462</v>
      </c>
      <c r="E78" s="28" t="s">
        <v>943</v>
      </c>
      <c r="F78" s="28" t="s">
        <v>944</v>
      </c>
      <c r="G78" s="28" t="s">
        <v>465</v>
      </c>
    </row>
    <row r="79" spans="1:7">
      <c r="A79" s="28">
        <v>10404</v>
      </c>
      <c r="B79" s="28" t="s">
        <v>945</v>
      </c>
      <c r="C79" s="28" t="s">
        <v>946</v>
      </c>
      <c r="D79" s="28" t="s">
        <v>462</v>
      </c>
      <c r="E79" s="28" t="s">
        <v>947</v>
      </c>
      <c r="F79" s="28" t="s">
        <v>948</v>
      </c>
      <c r="G79" s="28" t="s">
        <v>465</v>
      </c>
    </row>
    <row r="80" spans="1:7">
      <c r="A80" s="28">
        <v>10405</v>
      </c>
      <c r="B80" s="28" t="s">
        <v>949</v>
      </c>
      <c r="C80" s="28" t="s">
        <v>950</v>
      </c>
      <c r="D80" s="28" t="s">
        <v>462</v>
      </c>
      <c r="E80" s="28" t="s">
        <v>951</v>
      </c>
      <c r="F80" s="28" t="s">
        <v>952</v>
      </c>
      <c r="G80" s="28" t="s">
        <v>465</v>
      </c>
    </row>
    <row r="81" spans="1:7">
      <c r="A81" s="28">
        <v>10407</v>
      </c>
      <c r="B81" s="28" t="s">
        <v>953</v>
      </c>
      <c r="C81" s="28" t="s">
        <v>954</v>
      </c>
      <c r="D81" s="28" t="s">
        <v>462</v>
      </c>
      <c r="E81" s="28" t="s">
        <v>955</v>
      </c>
      <c r="F81" s="28" t="s">
        <v>956</v>
      </c>
      <c r="G81" s="28" t="s">
        <v>465</v>
      </c>
    </row>
    <row r="82" spans="1:7">
      <c r="A82" s="28">
        <v>10410</v>
      </c>
      <c r="B82" s="28" t="s">
        <v>957</v>
      </c>
      <c r="C82" s="28" t="s">
        <v>958</v>
      </c>
      <c r="D82" s="28" t="s">
        <v>462</v>
      </c>
      <c r="E82" s="28" t="s">
        <v>959</v>
      </c>
      <c r="F82" s="28" t="s">
        <v>960</v>
      </c>
      <c r="G82" s="28" t="s">
        <v>465</v>
      </c>
    </row>
    <row r="83" spans="1:7">
      <c r="A83" s="28">
        <v>10411</v>
      </c>
      <c r="B83" s="28" t="s">
        <v>913</v>
      </c>
      <c r="C83" s="28" t="s">
        <v>961</v>
      </c>
      <c r="D83" s="28" t="s">
        <v>462</v>
      </c>
      <c r="E83" s="28" t="s">
        <v>962</v>
      </c>
      <c r="F83" s="28" t="s">
        <v>963</v>
      </c>
      <c r="G83" s="28" t="s">
        <v>465</v>
      </c>
    </row>
    <row r="84" spans="1:7">
      <c r="A84" s="28">
        <v>10417</v>
      </c>
      <c r="B84" s="28" t="s">
        <v>964</v>
      </c>
      <c r="C84" s="28" t="s">
        <v>965</v>
      </c>
      <c r="D84" s="28" t="s">
        <v>462</v>
      </c>
      <c r="E84" s="28" t="s">
        <v>966</v>
      </c>
      <c r="F84" s="28" t="s">
        <v>967</v>
      </c>
      <c r="G84" s="28" t="s">
        <v>465</v>
      </c>
    </row>
    <row r="85" spans="1:7">
      <c r="A85" s="28">
        <v>10424</v>
      </c>
      <c r="B85" s="28" t="s">
        <v>968</v>
      </c>
      <c r="C85" s="28" t="s">
        <v>969</v>
      </c>
      <c r="D85" s="28" t="s">
        <v>462</v>
      </c>
      <c r="E85" s="28" t="s">
        <v>970</v>
      </c>
      <c r="F85" s="28" t="s">
        <v>971</v>
      </c>
      <c r="G85" s="28" t="s">
        <v>465</v>
      </c>
    </row>
    <row r="86" spans="1:7">
      <c r="A86" s="28">
        <v>10443</v>
      </c>
      <c r="B86" s="28" t="s">
        <v>972</v>
      </c>
      <c r="C86" s="28" t="s">
        <v>973</v>
      </c>
      <c r="D86" s="28" t="s">
        <v>462</v>
      </c>
      <c r="E86" s="28" t="s">
        <v>974</v>
      </c>
      <c r="F86" s="28" t="s">
        <v>975</v>
      </c>
      <c r="G86" s="28" t="s">
        <v>465</v>
      </c>
    </row>
    <row r="87" spans="1:7">
      <c r="A87" s="28">
        <v>10450</v>
      </c>
      <c r="B87" s="28" t="s">
        <v>976</v>
      </c>
      <c r="C87" s="28" t="s">
        <v>977</v>
      </c>
      <c r="D87" s="28" t="s">
        <v>462</v>
      </c>
      <c r="E87" s="28" t="s">
        <v>978</v>
      </c>
      <c r="F87" s="28" t="s">
        <v>979</v>
      </c>
      <c r="G87" s="28" t="s">
        <v>465</v>
      </c>
    </row>
    <row r="88" spans="1:7">
      <c r="A88" s="28">
        <v>10457</v>
      </c>
      <c r="B88" s="28" t="s">
        <v>980</v>
      </c>
      <c r="C88" s="28" t="s">
        <v>981</v>
      </c>
      <c r="D88" s="28" t="s">
        <v>462</v>
      </c>
      <c r="E88" s="28" t="s">
        <v>982</v>
      </c>
      <c r="F88" s="28" t="s">
        <v>983</v>
      </c>
      <c r="G88" s="28" t="s">
        <v>465</v>
      </c>
    </row>
    <row r="89" spans="1:7">
      <c r="A89" s="28">
        <v>10458</v>
      </c>
      <c r="B89" s="28" t="s">
        <v>984</v>
      </c>
      <c r="C89" s="28" t="s">
        <v>985</v>
      </c>
      <c r="D89" s="28" t="s">
        <v>462</v>
      </c>
      <c r="E89" s="28" t="s">
        <v>986</v>
      </c>
      <c r="F89" s="28" t="s">
        <v>987</v>
      </c>
      <c r="G89" s="28" t="s">
        <v>465</v>
      </c>
    </row>
    <row r="90" spans="1:7">
      <c r="A90" s="28">
        <v>10472</v>
      </c>
      <c r="B90" s="28" t="s">
        <v>988</v>
      </c>
      <c r="C90" s="28" t="s">
        <v>989</v>
      </c>
      <c r="D90" s="28" t="s">
        <v>462</v>
      </c>
      <c r="E90" s="28" t="s">
        <v>990</v>
      </c>
      <c r="F90" s="28" t="s">
        <v>991</v>
      </c>
      <c r="G90" s="28" t="s">
        <v>465</v>
      </c>
    </row>
    <row r="91" spans="1:7">
      <c r="A91" s="28">
        <v>10476</v>
      </c>
      <c r="B91" s="28" t="s">
        <v>784</v>
      </c>
      <c r="C91" s="28" t="s">
        <v>992</v>
      </c>
      <c r="D91" s="28" t="s">
        <v>462</v>
      </c>
      <c r="E91" s="28" t="s">
        <v>993</v>
      </c>
      <c r="F91" s="28" t="s">
        <v>994</v>
      </c>
      <c r="G91" s="28" t="s">
        <v>465</v>
      </c>
    </row>
    <row r="92" spans="1:7">
      <c r="A92" s="28">
        <v>10485</v>
      </c>
      <c r="B92" s="28" t="s">
        <v>502</v>
      </c>
      <c r="C92" s="28" t="s">
        <v>995</v>
      </c>
      <c r="D92" s="28" t="s">
        <v>462</v>
      </c>
      <c r="E92" s="28" t="s">
        <v>996</v>
      </c>
      <c r="F92" s="28" t="s">
        <v>997</v>
      </c>
      <c r="G92" s="28" t="s">
        <v>465</v>
      </c>
    </row>
    <row r="93" spans="1:7">
      <c r="A93" s="28">
        <v>10487</v>
      </c>
      <c r="B93" s="28" t="s">
        <v>998</v>
      </c>
      <c r="C93" s="28" t="s">
        <v>999</v>
      </c>
      <c r="D93" s="28" t="s">
        <v>462</v>
      </c>
      <c r="E93" s="28" t="s">
        <v>1000</v>
      </c>
      <c r="F93" s="28" t="s">
        <v>1001</v>
      </c>
      <c r="G93" s="28" t="s">
        <v>465</v>
      </c>
    </row>
    <row r="94" spans="1:7">
      <c r="A94" s="28">
        <v>10493</v>
      </c>
      <c r="B94" s="28" t="s">
        <v>1002</v>
      </c>
      <c r="C94" s="28" t="s">
        <v>1003</v>
      </c>
      <c r="D94" s="28" t="s">
        <v>462</v>
      </c>
      <c r="E94" s="28" t="s">
        <v>1004</v>
      </c>
      <c r="F94" s="28" t="s">
        <v>1005</v>
      </c>
      <c r="G94" s="28" t="s">
        <v>465</v>
      </c>
    </row>
    <row r="95" spans="1:7">
      <c r="A95" s="28">
        <v>10494</v>
      </c>
      <c r="B95" s="28" t="s">
        <v>1006</v>
      </c>
      <c r="C95" s="28" t="s">
        <v>1007</v>
      </c>
      <c r="D95" s="28" t="s">
        <v>462</v>
      </c>
      <c r="E95" s="28" t="s">
        <v>1008</v>
      </c>
      <c r="F95" s="28" t="s">
        <v>1009</v>
      </c>
      <c r="G95" s="28" t="s">
        <v>465</v>
      </c>
    </row>
    <row r="96" spans="1:7">
      <c r="A96" s="28">
        <v>10495</v>
      </c>
      <c r="B96" s="28" t="s">
        <v>1010</v>
      </c>
      <c r="C96" s="28" t="s">
        <v>1011</v>
      </c>
      <c r="D96" s="28" t="s">
        <v>462</v>
      </c>
      <c r="E96" s="28" t="s">
        <v>1012</v>
      </c>
      <c r="F96" s="28" t="s">
        <v>1013</v>
      </c>
      <c r="G96" s="28" t="s">
        <v>465</v>
      </c>
    </row>
    <row r="97" spans="1:7">
      <c r="A97" s="28">
        <v>10505</v>
      </c>
      <c r="B97" s="28" t="s">
        <v>1014</v>
      </c>
      <c r="C97" s="28" t="s">
        <v>1015</v>
      </c>
      <c r="D97" s="28" t="s">
        <v>462</v>
      </c>
      <c r="E97" s="28" t="s">
        <v>1016</v>
      </c>
      <c r="F97" s="28" t="s">
        <v>1017</v>
      </c>
      <c r="G97" s="28" t="s">
        <v>465</v>
      </c>
    </row>
    <row r="98" spans="1:7">
      <c r="A98" s="28">
        <v>10506</v>
      </c>
      <c r="B98" s="28" t="s">
        <v>1018</v>
      </c>
      <c r="C98" s="28" t="s">
        <v>1019</v>
      </c>
      <c r="D98" s="28" t="s">
        <v>462</v>
      </c>
      <c r="E98" s="28" t="s">
        <v>1020</v>
      </c>
      <c r="F98" s="28" t="s">
        <v>1021</v>
      </c>
      <c r="G98" s="28" t="s">
        <v>465</v>
      </c>
    </row>
    <row r="99" spans="1:7">
      <c r="A99" s="28">
        <v>10507</v>
      </c>
      <c r="B99" s="28" t="s">
        <v>1022</v>
      </c>
      <c r="C99" s="28" t="s">
        <v>1023</v>
      </c>
      <c r="D99" s="28" t="s">
        <v>462</v>
      </c>
      <c r="E99" s="28" t="s">
        <v>1024</v>
      </c>
      <c r="F99" s="28" t="s">
        <v>1025</v>
      </c>
      <c r="G99" s="28" t="s">
        <v>465</v>
      </c>
    </row>
    <row r="100" spans="1:7">
      <c r="A100" s="28">
        <v>10518</v>
      </c>
      <c r="B100" s="28" t="s">
        <v>1026</v>
      </c>
      <c r="C100" s="28" t="s">
        <v>1027</v>
      </c>
      <c r="D100" s="28" t="s">
        <v>462</v>
      </c>
      <c r="E100" s="28" t="s">
        <v>1028</v>
      </c>
      <c r="F100" s="28" t="s">
        <v>1029</v>
      </c>
      <c r="G100" s="28" t="s">
        <v>465</v>
      </c>
    </row>
    <row r="101" spans="1:7">
      <c r="A101" s="28">
        <v>10520</v>
      </c>
      <c r="B101" s="28" t="s">
        <v>1030</v>
      </c>
      <c r="C101" s="28" t="s">
        <v>1031</v>
      </c>
      <c r="D101" s="28" t="s">
        <v>462</v>
      </c>
      <c r="E101" s="28" t="s">
        <v>1032</v>
      </c>
      <c r="F101" s="28" t="s">
        <v>1033</v>
      </c>
      <c r="G101" s="28" t="s">
        <v>465</v>
      </c>
    </row>
    <row r="102" spans="1:7">
      <c r="A102" s="28">
        <v>10523</v>
      </c>
      <c r="B102" s="28" t="s">
        <v>1034</v>
      </c>
      <c r="C102" s="28" t="s">
        <v>1035</v>
      </c>
      <c r="D102" s="28" t="s">
        <v>462</v>
      </c>
      <c r="E102" s="28" t="s">
        <v>1036</v>
      </c>
      <c r="F102" s="28" t="s">
        <v>1037</v>
      </c>
      <c r="G102" s="28" t="s">
        <v>465</v>
      </c>
    </row>
    <row r="103" spans="1:7">
      <c r="A103" s="28">
        <v>10527</v>
      </c>
      <c r="B103" s="28" t="s">
        <v>1038</v>
      </c>
      <c r="C103" s="28" t="s">
        <v>1039</v>
      </c>
      <c r="D103" s="28" t="s">
        <v>462</v>
      </c>
      <c r="E103" s="28" t="s">
        <v>1040</v>
      </c>
      <c r="F103" s="28" t="s">
        <v>1041</v>
      </c>
      <c r="G103" s="28" t="s">
        <v>465</v>
      </c>
    </row>
    <row r="104" spans="1:7">
      <c r="A104" s="28">
        <v>10536</v>
      </c>
      <c r="B104" s="28" t="s">
        <v>1042</v>
      </c>
      <c r="C104" s="28" t="s">
        <v>1043</v>
      </c>
      <c r="D104" s="28" t="s">
        <v>462</v>
      </c>
      <c r="E104" s="28" t="s">
        <v>1044</v>
      </c>
      <c r="F104" s="28" t="s">
        <v>1045</v>
      </c>
      <c r="G104" s="28" t="s">
        <v>465</v>
      </c>
    </row>
    <row r="105" spans="1:7">
      <c r="A105" s="28">
        <v>10537</v>
      </c>
      <c r="B105" s="28" t="s">
        <v>1046</v>
      </c>
      <c r="C105" s="28" t="s">
        <v>1047</v>
      </c>
      <c r="D105" s="28" t="s">
        <v>462</v>
      </c>
      <c r="E105" s="28" t="s">
        <v>1048</v>
      </c>
      <c r="F105" s="28" t="s">
        <v>1049</v>
      </c>
      <c r="G105" s="28" t="s">
        <v>465</v>
      </c>
    </row>
    <row r="106" spans="1:7">
      <c r="A106" s="28">
        <v>10541</v>
      </c>
      <c r="B106" s="28" t="s">
        <v>677</v>
      </c>
      <c r="C106" s="28" t="s">
        <v>1050</v>
      </c>
      <c r="D106" s="28" t="s">
        <v>462</v>
      </c>
      <c r="E106" s="28" t="s">
        <v>1051</v>
      </c>
      <c r="F106" s="28" t="s">
        <v>1052</v>
      </c>
      <c r="G106" s="28" t="s">
        <v>465</v>
      </c>
    </row>
    <row r="107" spans="1:7">
      <c r="A107" s="28">
        <v>10548</v>
      </c>
      <c r="B107" s="28" t="s">
        <v>788</v>
      </c>
      <c r="C107" s="28" t="s">
        <v>1053</v>
      </c>
      <c r="D107" s="28" t="s">
        <v>462</v>
      </c>
      <c r="E107" s="28" t="s">
        <v>1054</v>
      </c>
      <c r="F107" s="28" t="s">
        <v>1055</v>
      </c>
      <c r="G107" s="28" t="s">
        <v>465</v>
      </c>
    </row>
    <row r="108" spans="1:7">
      <c r="A108" s="28">
        <v>10553</v>
      </c>
      <c r="B108" s="28" t="s">
        <v>1056</v>
      </c>
      <c r="C108" s="28" t="s">
        <v>1057</v>
      </c>
      <c r="D108" s="28" t="s">
        <v>462</v>
      </c>
      <c r="E108" s="28" t="s">
        <v>1058</v>
      </c>
      <c r="F108" s="28" t="s">
        <v>1059</v>
      </c>
      <c r="G108" s="28" t="s">
        <v>465</v>
      </c>
    </row>
    <row r="109" spans="1:7">
      <c r="A109" s="28">
        <v>10554</v>
      </c>
      <c r="B109" s="28" t="s">
        <v>964</v>
      </c>
      <c r="C109" s="28" t="s">
        <v>1060</v>
      </c>
      <c r="D109" s="28" t="s">
        <v>462</v>
      </c>
      <c r="E109" s="28" t="s">
        <v>1061</v>
      </c>
      <c r="F109" s="28" t="s">
        <v>1062</v>
      </c>
      <c r="G109" s="28" t="s">
        <v>465</v>
      </c>
    </row>
    <row r="110" spans="1:7">
      <c r="A110" s="28">
        <v>10555</v>
      </c>
      <c r="B110" s="28" t="s">
        <v>1063</v>
      </c>
      <c r="C110" s="28" t="s">
        <v>507</v>
      </c>
      <c r="D110" s="28" t="s">
        <v>462</v>
      </c>
      <c r="E110" s="28" t="s">
        <v>1064</v>
      </c>
      <c r="F110" s="28" t="s">
        <v>1065</v>
      </c>
      <c r="G110" s="28" t="s">
        <v>465</v>
      </c>
    </row>
    <row r="111" spans="1:7">
      <c r="A111" s="28">
        <v>10558</v>
      </c>
      <c r="B111" s="28" t="s">
        <v>1066</v>
      </c>
      <c r="C111" s="28" t="s">
        <v>1067</v>
      </c>
      <c r="D111" s="28" t="s">
        <v>462</v>
      </c>
      <c r="E111" s="28" t="s">
        <v>1068</v>
      </c>
      <c r="F111" s="28" t="s">
        <v>1069</v>
      </c>
      <c r="G111" s="28" t="s">
        <v>465</v>
      </c>
    </row>
    <row r="112" spans="1:7">
      <c r="A112" s="28">
        <v>10560</v>
      </c>
      <c r="B112" s="28" t="s">
        <v>1070</v>
      </c>
      <c r="C112" s="28" t="s">
        <v>1071</v>
      </c>
      <c r="D112" s="28" t="s">
        <v>462</v>
      </c>
      <c r="E112" s="28" t="s">
        <v>1072</v>
      </c>
      <c r="F112" s="28" t="s">
        <v>1073</v>
      </c>
      <c r="G112" s="28" t="s">
        <v>465</v>
      </c>
    </row>
    <row r="113" spans="1:7">
      <c r="A113" s="28">
        <v>10561</v>
      </c>
      <c r="B113" s="28" t="s">
        <v>1074</v>
      </c>
      <c r="C113" s="28" t="s">
        <v>1075</v>
      </c>
      <c r="D113" s="28" t="s">
        <v>462</v>
      </c>
      <c r="E113" s="28" t="s">
        <v>1076</v>
      </c>
      <c r="F113" s="28" t="s">
        <v>1077</v>
      </c>
      <c r="G113" s="28" t="s">
        <v>465</v>
      </c>
    </row>
    <row r="114" spans="1:7">
      <c r="A114" s="28">
        <v>10562</v>
      </c>
      <c r="B114" s="28" t="s">
        <v>470</v>
      </c>
      <c r="C114" s="28" t="s">
        <v>1078</v>
      </c>
      <c r="D114" s="28" t="s">
        <v>462</v>
      </c>
      <c r="E114" s="28" t="s">
        <v>1079</v>
      </c>
      <c r="F114" s="28" t="s">
        <v>1080</v>
      </c>
      <c r="G114" s="28" t="s">
        <v>465</v>
      </c>
    </row>
    <row r="115" spans="1:7">
      <c r="A115" s="28">
        <v>10565</v>
      </c>
      <c r="B115" s="28" t="s">
        <v>1081</v>
      </c>
      <c r="C115" s="28" t="s">
        <v>1082</v>
      </c>
      <c r="D115" s="28" t="s">
        <v>462</v>
      </c>
      <c r="E115" s="28" t="s">
        <v>1083</v>
      </c>
      <c r="F115" s="28" t="s">
        <v>1084</v>
      </c>
      <c r="G115" s="28" t="s">
        <v>465</v>
      </c>
    </row>
    <row r="116" spans="1:7">
      <c r="A116" s="28">
        <v>10567</v>
      </c>
      <c r="B116" s="28" t="s">
        <v>1085</v>
      </c>
      <c r="C116" s="28" t="s">
        <v>1086</v>
      </c>
      <c r="D116" s="28" t="s">
        <v>462</v>
      </c>
      <c r="E116" s="28" t="s">
        <v>1087</v>
      </c>
      <c r="F116" s="28" t="s">
        <v>1088</v>
      </c>
      <c r="G116" s="28" t="s">
        <v>465</v>
      </c>
    </row>
    <row r="117" spans="1:7">
      <c r="A117" s="28">
        <v>10568</v>
      </c>
      <c r="B117" s="28" t="s">
        <v>1002</v>
      </c>
      <c r="C117" s="28" t="s">
        <v>1089</v>
      </c>
      <c r="D117" s="28" t="s">
        <v>462</v>
      </c>
      <c r="E117" s="28" t="s">
        <v>1090</v>
      </c>
      <c r="F117" s="28" t="s">
        <v>1091</v>
      </c>
      <c r="G117" s="28" t="s">
        <v>465</v>
      </c>
    </row>
    <row r="118" spans="1:7">
      <c r="A118" s="28">
        <v>10569</v>
      </c>
      <c r="B118" s="28" t="s">
        <v>1092</v>
      </c>
      <c r="C118" s="28" t="s">
        <v>1093</v>
      </c>
      <c r="D118" s="28" t="s">
        <v>462</v>
      </c>
      <c r="E118" s="28" t="s">
        <v>1094</v>
      </c>
      <c r="F118" s="28" t="s">
        <v>1095</v>
      </c>
      <c r="G118" s="28" t="s">
        <v>465</v>
      </c>
    </row>
    <row r="119" spans="1:7">
      <c r="A119" s="28">
        <v>10573</v>
      </c>
      <c r="B119" s="28" t="s">
        <v>1096</v>
      </c>
      <c r="C119" s="28" t="s">
        <v>1097</v>
      </c>
      <c r="D119" s="28" t="s">
        <v>462</v>
      </c>
      <c r="E119" s="28" t="s">
        <v>1098</v>
      </c>
      <c r="F119" s="28" t="s">
        <v>1099</v>
      </c>
      <c r="G119" s="28" t="s">
        <v>465</v>
      </c>
    </row>
    <row r="120" spans="1:7">
      <c r="A120" s="28">
        <v>10576</v>
      </c>
      <c r="B120" s="28" t="s">
        <v>1100</v>
      </c>
      <c r="C120" s="28" t="s">
        <v>1101</v>
      </c>
      <c r="D120" s="28" t="s">
        <v>462</v>
      </c>
      <c r="E120" s="28" t="s">
        <v>1102</v>
      </c>
      <c r="F120" s="28" t="s">
        <v>1103</v>
      </c>
      <c r="G120" s="28" t="s">
        <v>465</v>
      </c>
    </row>
    <row r="121" spans="1:7">
      <c r="A121" s="28">
        <v>10579</v>
      </c>
      <c r="B121" s="28" t="s">
        <v>1104</v>
      </c>
      <c r="C121" s="28" t="s">
        <v>1105</v>
      </c>
      <c r="D121" s="28" t="s">
        <v>462</v>
      </c>
      <c r="E121" s="28" t="s">
        <v>1106</v>
      </c>
      <c r="F121" s="28" t="s">
        <v>1107</v>
      </c>
      <c r="G121" s="28" t="s">
        <v>465</v>
      </c>
    </row>
    <row r="122" spans="1:7">
      <c r="A122" s="28">
        <v>10583</v>
      </c>
      <c r="B122" s="28" t="s">
        <v>1108</v>
      </c>
      <c r="C122" s="28" t="s">
        <v>1109</v>
      </c>
      <c r="D122" s="28" t="s">
        <v>462</v>
      </c>
      <c r="E122" s="28" t="s">
        <v>1110</v>
      </c>
      <c r="F122" s="28" t="s">
        <v>1111</v>
      </c>
      <c r="G122" s="28" t="s">
        <v>465</v>
      </c>
    </row>
    <row r="123" spans="1:7">
      <c r="A123" s="28">
        <v>10584</v>
      </c>
      <c r="B123" s="28" t="s">
        <v>1112</v>
      </c>
      <c r="C123" s="28" t="s">
        <v>1113</v>
      </c>
      <c r="D123" s="28" t="s">
        <v>462</v>
      </c>
      <c r="E123" s="28" t="s">
        <v>1114</v>
      </c>
      <c r="F123" s="28" t="s">
        <v>1115</v>
      </c>
      <c r="G123" s="28" t="s">
        <v>465</v>
      </c>
    </row>
    <row r="124" spans="1:7">
      <c r="A124" s="28">
        <v>10590</v>
      </c>
      <c r="B124" s="28" t="s">
        <v>1116</v>
      </c>
      <c r="C124" s="28" t="s">
        <v>1117</v>
      </c>
      <c r="D124" s="28" t="s">
        <v>462</v>
      </c>
      <c r="E124" s="28" t="s">
        <v>1118</v>
      </c>
      <c r="F124" s="28" t="s">
        <v>1119</v>
      </c>
      <c r="G124" s="28" t="s">
        <v>465</v>
      </c>
    </row>
    <row r="125" spans="1:7">
      <c r="A125" s="28">
        <v>10591</v>
      </c>
      <c r="B125" s="28" t="s">
        <v>1120</v>
      </c>
      <c r="C125" s="28" t="s">
        <v>1121</v>
      </c>
      <c r="D125" s="28" t="s">
        <v>462</v>
      </c>
      <c r="E125" s="28" t="s">
        <v>1122</v>
      </c>
      <c r="F125" s="28" t="s">
        <v>1123</v>
      </c>
      <c r="G125" s="28" t="s">
        <v>465</v>
      </c>
    </row>
    <row r="126" spans="1:7">
      <c r="A126" s="28">
        <v>10592</v>
      </c>
      <c r="B126" s="28" t="s">
        <v>1124</v>
      </c>
      <c r="C126" s="28" t="s">
        <v>1125</v>
      </c>
      <c r="D126" s="28" t="s">
        <v>462</v>
      </c>
      <c r="E126" s="28" t="s">
        <v>1126</v>
      </c>
      <c r="F126" s="28" t="s">
        <v>1127</v>
      </c>
      <c r="G126" s="28" t="s">
        <v>465</v>
      </c>
    </row>
    <row r="127" spans="1:7">
      <c r="A127" s="28">
        <v>10593</v>
      </c>
      <c r="B127" s="28" t="s">
        <v>1128</v>
      </c>
      <c r="C127" s="28" t="s">
        <v>1129</v>
      </c>
      <c r="D127" s="28" t="s">
        <v>462</v>
      </c>
      <c r="E127" s="28" t="s">
        <v>1130</v>
      </c>
      <c r="F127" s="28" t="s">
        <v>1131</v>
      </c>
      <c r="G127" s="28" t="s">
        <v>465</v>
      </c>
    </row>
    <row r="128" spans="1:7">
      <c r="A128" s="28">
        <v>10594</v>
      </c>
      <c r="B128" s="28" t="s">
        <v>1034</v>
      </c>
      <c r="C128" s="28" t="s">
        <v>1132</v>
      </c>
      <c r="D128" s="28" t="s">
        <v>462</v>
      </c>
      <c r="E128" s="28" t="s">
        <v>1133</v>
      </c>
      <c r="F128" s="28" t="s">
        <v>1134</v>
      </c>
      <c r="G128" s="28" t="s">
        <v>465</v>
      </c>
    </row>
    <row r="129" spans="1:7">
      <c r="A129" s="28">
        <v>10600</v>
      </c>
      <c r="B129" s="28" t="s">
        <v>1135</v>
      </c>
      <c r="C129" s="28" t="s">
        <v>1136</v>
      </c>
      <c r="D129" s="28" t="s">
        <v>462</v>
      </c>
      <c r="E129" s="28" t="s">
        <v>1137</v>
      </c>
      <c r="F129" s="28" t="s">
        <v>1138</v>
      </c>
      <c r="G129" s="28" t="s">
        <v>465</v>
      </c>
    </row>
    <row r="130" spans="1:7">
      <c r="A130" s="28">
        <v>10606</v>
      </c>
      <c r="B130" s="28" t="s">
        <v>1139</v>
      </c>
      <c r="C130" s="28" t="s">
        <v>1140</v>
      </c>
      <c r="D130" s="28" t="s">
        <v>462</v>
      </c>
      <c r="E130" s="28" t="s">
        <v>1141</v>
      </c>
      <c r="F130" s="28" t="s">
        <v>1142</v>
      </c>
      <c r="G130" s="28" t="s">
        <v>465</v>
      </c>
    </row>
    <row r="131" spans="1:7">
      <c r="A131" s="28">
        <v>10612</v>
      </c>
      <c r="B131" s="28" t="s">
        <v>980</v>
      </c>
      <c r="C131" s="28" t="s">
        <v>1143</v>
      </c>
      <c r="D131" s="28" t="s">
        <v>462</v>
      </c>
      <c r="E131" s="28" t="s">
        <v>1144</v>
      </c>
      <c r="F131" s="28" t="s">
        <v>1145</v>
      </c>
      <c r="G131" s="28" t="s">
        <v>465</v>
      </c>
    </row>
    <row r="132" spans="1:7">
      <c r="A132" s="28">
        <v>10614</v>
      </c>
      <c r="B132" s="28" t="s">
        <v>1146</v>
      </c>
      <c r="C132" s="28" t="s">
        <v>1147</v>
      </c>
      <c r="D132" s="28" t="s">
        <v>462</v>
      </c>
      <c r="E132" s="28" t="s">
        <v>1148</v>
      </c>
      <c r="F132" s="28" t="s">
        <v>1149</v>
      </c>
      <c r="G132" s="28" t="s">
        <v>465</v>
      </c>
    </row>
    <row r="133" spans="1:7">
      <c r="A133" s="28">
        <v>10618</v>
      </c>
      <c r="B133" s="28" t="s">
        <v>1150</v>
      </c>
      <c r="C133" s="28" t="s">
        <v>1151</v>
      </c>
      <c r="D133" s="28" t="s">
        <v>462</v>
      </c>
      <c r="E133" s="28" t="s">
        <v>1152</v>
      </c>
      <c r="F133" s="28" t="s">
        <v>1153</v>
      </c>
      <c r="G133" s="28" t="s">
        <v>465</v>
      </c>
    </row>
    <row r="134" spans="1:7">
      <c r="A134" s="28">
        <v>10622</v>
      </c>
      <c r="B134" s="28" t="s">
        <v>1154</v>
      </c>
      <c r="C134" s="28" t="s">
        <v>1155</v>
      </c>
      <c r="D134" s="28" t="s">
        <v>462</v>
      </c>
      <c r="E134" s="28" t="s">
        <v>1156</v>
      </c>
      <c r="F134" s="28" t="s">
        <v>1157</v>
      </c>
      <c r="G134" s="28" t="s">
        <v>465</v>
      </c>
    </row>
    <row r="135" spans="1:7">
      <c r="A135" s="28">
        <v>10623</v>
      </c>
      <c r="B135" s="28" t="s">
        <v>1158</v>
      </c>
      <c r="C135" s="28" t="s">
        <v>1159</v>
      </c>
      <c r="D135" s="28" t="s">
        <v>462</v>
      </c>
      <c r="E135" s="28" t="s">
        <v>1160</v>
      </c>
      <c r="F135" s="28" t="s">
        <v>1161</v>
      </c>
      <c r="G135" s="28" t="s">
        <v>465</v>
      </c>
    </row>
    <row r="136" spans="1:7">
      <c r="A136" s="28">
        <v>10626</v>
      </c>
      <c r="B136" s="28" t="s">
        <v>1162</v>
      </c>
      <c r="C136" s="28" t="s">
        <v>1155</v>
      </c>
      <c r="D136" s="28" t="s">
        <v>462</v>
      </c>
      <c r="E136" s="28" t="s">
        <v>1163</v>
      </c>
      <c r="F136" s="28" t="s">
        <v>1164</v>
      </c>
      <c r="G136" s="28" t="s">
        <v>465</v>
      </c>
    </row>
    <row r="137" spans="1:7">
      <c r="A137" s="28">
        <v>10629</v>
      </c>
      <c r="B137" s="28" t="s">
        <v>1165</v>
      </c>
      <c r="C137" s="28" t="s">
        <v>1166</v>
      </c>
      <c r="D137" s="28" t="s">
        <v>462</v>
      </c>
      <c r="E137" s="28" t="s">
        <v>1167</v>
      </c>
      <c r="F137" s="28" t="s">
        <v>1168</v>
      </c>
      <c r="G137" s="28" t="s">
        <v>465</v>
      </c>
    </row>
    <row r="138" spans="1:7">
      <c r="A138" s="28">
        <v>10637</v>
      </c>
      <c r="B138" s="28" t="s">
        <v>1169</v>
      </c>
      <c r="C138" s="28" t="s">
        <v>1170</v>
      </c>
      <c r="D138" s="28" t="s">
        <v>462</v>
      </c>
      <c r="E138" s="28" t="s">
        <v>1171</v>
      </c>
      <c r="F138" s="28" t="s">
        <v>1172</v>
      </c>
      <c r="G138" s="28" t="s">
        <v>465</v>
      </c>
    </row>
    <row r="139" spans="1:7">
      <c r="A139" s="28">
        <v>10638</v>
      </c>
      <c r="B139" s="28" t="s">
        <v>1173</v>
      </c>
      <c r="C139" s="28" t="s">
        <v>1174</v>
      </c>
      <c r="D139" s="28" t="s">
        <v>462</v>
      </c>
      <c r="E139" s="28" t="s">
        <v>1175</v>
      </c>
      <c r="F139" s="28" t="s">
        <v>1176</v>
      </c>
      <c r="G139" s="28" t="s">
        <v>465</v>
      </c>
    </row>
    <row r="140" spans="1:7">
      <c r="A140" s="28">
        <v>10640</v>
      </c>
      <c r="B140" s="28" t="s">
        <v>684</v>
      </c>
      <c r="C140" s="28" t="s">
        <v>1177</v>
      </c>
      <c r="D140" s="28" t="s">
        <v>462</v>
      </c>
      <c r="E140" s="28" t="s">
        <v>1178</v>
      </c>
      <c r="F140" s="28" t="s">
        <v>1179</v>
      </c>
      <c r="G140" s="28" t="s">
        <v>465</v>
      </c>
    </row>
    <row r="141" spans="1:7">
      <c r="A141" s="28">
        <v>10647</v>
      </c>
      <c r="B141" s="28" t="s">
        <v>1180</v>
      </c>
      <c r="C141" s="28" t="s">
        <v>1181</v>
      </c>
      <c r="D141" s="28" t="s">
        <v>462</v>
      </c>
      <c r="E141" s="28" t="s">
        <v>1182</v>
      </c>
      <c r="F141" s="28" t="s">
        <v>1183</v>
      </c>
      <c r="G141" s="28" t="s">
        <v>465</v>
      </c>
    </row>
    <row r="142" spans="1:7">
      <c r="A142" s="28">
        <v>10652</v>
      </c>
      <c r="B142" s="28" t="s">
        <v>1184</v>
      </c>
      <c r="C142" s="28" t="s">
        <v>1185</v>
      </c>
      <c r="D142" s="28" t="s">
        <v>462</v>
      </c>
      <c r="E142" s="28" t="s">
        <v>1186</v>
      </c>
      <c r="F142" s="28" t="s">
        <v>1187</v>
      </c>
      <c r="G142" s="28" t="s">
        <v>465</v>
      </c>
    </row>
    <row r="143" spans="1:7">
      <c r="A143" s="28">
        <v>10655</v>
      </c>
      <c r="B143" s="28" t="s">
        <v>1188</v>
      </c>
      <c r="C143" s="28" t="s">
        <v>1189</v>
      </c>
      <c r="D143" s="28" t="s">
        <v>462</v>
      </c>
      <c r="E143" s="28" t="s">
        <v>1190</v>
      </c>
      <c r="F143" s="28" t="s">
        <v>1191</v>
      </c>
      <c r="G143" s="28" t="s">
        <v>465</v>
      </c>
    </row>
    <row r="144" spans="1:7">
      <c r="A144" s="28">
        <v>10656</v>
      </c>
      <c r="B144" s="28" t="s">
        <v>1192</v>
      </c>
      <c r="C144" s="28" t="s">
        <v>1193</v>
      </c>
      <c r="D144" s="28" t="s">
        <v>462</v>
      </c>
      <c r="E144" s="28" t="s">
        <v>1194</v>
      </c>
      <c r="F144" s="28" t="s">
        <v>1195</v>
      </c>
      <c r="G144" s="28" t="s">
        <v>465</v>
      </c>
    </row>
    <row r="145" spans="1:7">
      <c r="A145" s="28">
        <v>10658</v>
      </c>
      <c r="B145" s="28" t="s">
        <v>1196</v>
      </c>
      <c r="C145" s="28" t="s">
        <v>1197</v>
      </c>
      <c r="D145" s="28" t="s">
        <v>462</v>
      </c>
      <c r="E145" s="28" t="s">
        <v>1198</v>
      </c>
      <c r="F145" s="28" t="s">
        <v>1199</v>
      </c>
      <c r="G145" s="28" t="s">
        <v>465</v>
      </c>
    </row>
    <row r="146" spans="1:7">
      <c r="A146" s="28">
        <v>10666</v>
      </c>
      <c r="B146" s="28" t="s">
        <v>1169</v>
      </c>
      <c r="C146" s="28" t="s">
        <v>1089</v>
      </c>
      <c r="D146" s="28" t="s">
        <v>462</v>
      </c>
      <c r="E146" s="28" t="s">
        <v>1200</v>
      </c>
      <c r="F146" s="28" t="s">
        <v>1201</v>
      </c>
      <c r="G146" s="28" t="s">
        <v>465</v>
      </c>
    </row>
    <row r="147" spans="1:7">
      <c r="A147" s="28">
        <v>10668</v>
      </c>
      <c r="B147" s="28" t="s">
        <v>1092</v>
      </c>
      <c r="C147" s="28" t="s">
        <v>840</v>
      </c>
      <c r="D147" s="28" t="s">
        <v>462</v>
      </c>
      <c r="E147" s="28" t="s">
        <v>1202</v>
      </c>
      <c r="F147" s="28" t="s">
        <v>1203</v>
      </c>
      <c r="G147" s="28" t="s">
        <v>465</v>
      </c>
    </row>
    <row r="148" spans="1:7">
      <c r="A148" s="28">
        <v>10669</v>
      </c>
      <c r="B148" s="28" t="s">
        <v>1204</v>
      </c>
      <c r="C148" s="28" t="s">
        <v>1205</v>
      </c>
      <c r="D148" s="28" t="s">
        <v>462</v>
      </c>
      <c r="E148" s="28" t="s">
        <v>1206</v>
      </c>
      <c r="F148" s="28" t="s">
        <v>1207</v>
      </c>
      <c r="G148" s="28" t="s">
        <v>465</v>
      </c>
    </row>
    <row r="149" spans="1:7">
      <c r="A149" s="28">
        <v>10681</v>
      </c>
      <c r="B149" s="28" t="s">
        <v>1208</v>
      </c>
      <c r="C149" s="28" t="s">
        <v>1209</v>
      </c>
      <c r="D149" s="28" t="s">
        <v>462</v>
      </c>
      <c r="E149" s="28" t="s">
        <v>1210</v>
      </c>
      <c r="F149" s="28" t="s">
        <v>1211</v>
      </c>
      <c r="G149" s="28" t="s">
        <v>465</v>
      </c>
    </row>
    <row r="150" spans="1:7">
      <c r="A150" s="28">
        <v>10685</v>
      </c>
      <c r="B150" s="28" t="s">
        <v>1212</v>
      </c>
      <c r="C150" s="28" t="s">
        <v>1213</v>
      </c>
      <c r="D150" s="28" t="s">
        <v>462</v>
      </c>
      <c r="E150" s="28" t="s">
        <v>1214</v>
      </c>
      <c r="F150" s="28" t="s">
        <v>1215</v>
      </c>
      <c r="G150" s="28" t="s">
        <v>465</v>
      </c>
    </row>
    <row r="151" spans="1:7">
      <c r="A151" s="28">
        <v>10701</v>
      </c>
      <c r="B151" s="28" t="s">
        <v>1216</v>
      </c>
      <c r="C151" s="28" t="s">
        <v>1217</v>
      </c>
      <c r="D151" s="28" t="s">
        <v>462</v>
      </c>
      <c r="E151" s="28" t="s">
        <v>1218</v>
      </c>
      <c r="F151" s="28" t="s">
        <v>1219</v>
      </c>
      <c r="G151" s="28" t="s">
        <v>465</v>
      </c>
    </row>
    <row r="152" spans="1:7">
      <c r="A152" s="28">
        <v>10711</v>
      </c>
      <c r="B152" s="28" t="s">
        <v>1220</v>
      </c>
      <c r="C152" s="28" t="s">
        <v>1221</v>
      </c>
      <c r="D152" s="28" t="s">
        <v>462</v>
      </c>
      <c r="E152" s="28" t="s">
        <v>1222</v>
      </c>
      <c r="F152" s="28" t="s">
        <v>1223</v>
      </c>
      <c r="G152" s="28" t="s">
        <v>465</v>
      </c>
    </row>
    <row r="153" spans="1:7">
      <c r="A153" s="28">
        <v>10713</v>
      </c>
      <c r="B153" s="28" t="s">
        <v>1224</v>
      </c>
      <c r="C153" s="28" t="s">
        <v>1225</v>
      </c>
      <c r="D153" s="28" t="s">
        <v>462</v>
      </c>
      <c r="E153" s="28" t="s">
        <v>1226</v>
      </c>
      <c r="F153" s="28" t="s">
        <v>1227</v>
      </c>
      <c r="G153" s="28" t="s">
        <v>465</v>
      </c>
    </row>
    <row r="154" spans="1:7">
      <c r="A154" s="28">
        <v>10714</v>
      </c>
      <c r="B154" s="28" t="s">
        <v>1228</v>
      </c>
      <c r="C154" s="28" t="s">
        <v>1229</v>
      </c>
      <c r="D154" s="28" t="s">
        <v>462</v>
      </c>
      <c r="E154" s="28" t="s">
        <v>1230</v>
      </c>
      <c r="F154" s="28" t="s">
        <v>1231</v>
      </c>
      <c r="G154" s="28" t="s">
        <v>465</v>
      </c>
    </row>
    <row r="155" spans="1:7">
      <c r="A155" s="28">
        <v>10724</v>
      </c>
      <c r="B155" s="28" t="s">
        <v>1232</v>
      </c>
      <c r="C155" s="28" t="s">
        <v>1233</v>
      </c>
      <c r="D155" s="28" t="s">
        <v>462</v>
      </c>
      <c r="E155" s="28" t="s">
        <v>1234</v>
      </c>
      <c r="F155" s="28" t="s">
        <v>1235</v>
      </c>
      <c r="G155" s="28" t="s">
        <v>465</v>
      </c>
    </row>
    <row r="156" spans="1:7">
      <c r="A156" s="28">
        <v>10729</v>
      </c>
      <c r="B156" s="28" t="s">
        <v>788</v>
      </c>
      <c r="C156" s="28" t="s">
        <v>1236</v>
      </c>
      <c r="D156" s="28" t="s">
        <v>462</v>
      </c>
      <c r="E156" s="28" t="s">
        <v>1237</v>
      </c>
      <c r="F156" s="28" t="s">
        <v>1238</v>
      </c>
      <c r="G156" s="28" t="s">
        <v>465</v>
      </c>
    </row>
    <row r="157" spans="1:7">
      <c r="A157" s="28">
        <v>10750</v>
      </c>
      <c r="B157" s="28" t="s">
        <v>732</v>
      </c>
      <c r="C157" s="28" t="s">
        <v>1239</v>
      </c>
      <c r="D157" s="28" t="s">
        <v>462</v>
      </c>
      <c r="E157" s="28" t="s">
        <v>1240</v>
      </c>
      <c r="F157" s="28" t="s">
        <v>1241</v>
      </c>
      <c r="G157" s="28" t="s">
        <v>465</v>
      </c>
    </row>
    <row r="158" spans="1:7">
      <c r="A158" s="28">
        <v>10752</v>
      </c>
      <c r="B158" s="28" t="s">
        <v>1242</v>
      </c>
      <c r="C158" s="28" t="s">
        <v>1243</v>
      </c>
      <c r="D158" s="28" t="s">
        <v>462</v>
      </c>
      <c r="E158" s="28" t="s">
        <v>1244</v>
      </c>
      <c r="F158" s="28" t="s">
        <v>1245</v>
      </c>
      <c r="G158" s="28" t="s">
        <v>465</v>
      </c>
    </row>
    <row r="159" spans="1:7">
      <c r="A159" s="28">
        <v>10753</v>
      </c>
      <c r="B159" s="28" t="s">
        <v>1246</v>
      </c>
      <c r="C159" s="28" t="s">
        <v>1247</v>
      </c>
      <c r="D159" s="28" t="s">
        <v>462</v>
      </c>
      <c r="E159" s="28" t="s">
        <v>1248</v>
      </c>
      <c r="F159" s="28" t="s">
        <v>1249</v>
      </c>
      <c r="G159" s="28" t="s">
        <v>465</v>
      </c>
    </row>
    <row r="160" spans="1:7">
      <c r="A160" s="28">
        <v>10754</v>
      </c>
      <c r="B160" s="28" t="s">
        <v>1250</v>
      </c>
      <c r="C160" s="28" t="s">
        <v>1251</v>
      </c>
      <c r="D160" s="28" t="s">
        <v>462</v>
      </c>
      <c r="E160" s="28" t="s">
        <v>1252</v>
      </c>
      <c r="F160" s="28" t="s">
        <v>1253</v>
      </c>
      <c r="G160" s="28" t="s">
        <v>465</v>
      </c>
    </row>
    <row r="161" spans="1:7">
      <c r="A161" s="28">
        <v>10755</v>
      </c>
      <c r="B161" s="28" t="s">
        <v>1254</v>
      </c>
      <c r="C161" s="28" t="s">
        <v>1255</v>
      </c>
      <c r="D161" s="28" t="s">
        <v>462</v>
      </c>
      <c r="E161" s="28" t="s">
        <v>1256</v>
      </c>
      <c r="F161" s="28" t="s">
        <v>1257</v>
      </c>
      <c r="G161" s="28" t="s">
        <v>465</v>
      </c>
    </row>
    <row r="162" spans="1:7">
      <c r="A162" s="28">
        <v>10762</v>
      </c>
      <c r="B162" s="28" t="s">
        <v>1258</v>
      </c>
      <c r="C162" s="28" t="s">
        <v>1259</v>
      </c>
      <c r="D162" s="28" t="s">
        <v>462</v>
      </c>
      <c r="E162" s="28" t="s">
        <v>1260</v>
      </c>
      <c r="F162" s="28" t="s">
        <v>1261</v>
      </c>
      <c r="G162" s="28" t="s">
        <v>465</v>
      </c>
    </row>
    <row r="163" spans="1:7">
      <c r="A163" s="28">
        <v>10764</v>
      </c>
      <c r="B163" s="28" t="s">
        <v>478</v>
      </c>
      <c r="C163" s="28" t="s">
        <v>1262</v>
      </c>
      <c r="D163" s="28" t="s">
        <v>462</v>
      </c>
      <c r="E163" s="28" t="s">
        <v>1263</v>
      </c>
      <c r="F163" s="28" t="s">
        <v>1264</v>
      </c>
      <c r="G163" s="28" t="s">
        <v>465</v>
      </c>
    </row>
    <row r="164" spans="1:7">
      <c r="A164" s="28">
        <v>10765</v>
      </c>
      <c r="B164" s="28" t="s">
        <v>1265</v>
      </c>
      <c r="C164" s="28" t="s">
        <v>1266</v>
      </c>
      <c r="D164" s="28" t="s">
        <v>462</v>
      </c>
      <c r="E164" s="28" t="s">
        <v>1267</v>
      </c>
      <c r="F164" s="28" t="s">
        <v>1268</v>
      </c>
      <c r="G164" s="28" t="s">
        <v>465</v>
      </c>
    </row>
    <row r="165" spans="1:7">
      <c r="A165" s="28">
        <v>10771</v>
      </c>
      <c r="B165" s="28" t="s">
        <v>1269</v>
      </c>
      <c r="C165" s="28" t="s">
        <v>1270</v>
      </c>
      <c r="D165" s="28" t="s">
        <v>462</v>
      </c>
      <c r="E165" s="28" t="s">
        <v>1271</v>
      </c>
      <c r="F165" s="28" t="s">
        <v>1272</v>
      </c>
      <c r="G165" s="28" t="s">
        <v>465</v>
      </c>
    </row>
    <row r="166" spans="1:7">
      <c r="A166" s="28">
        <v>10776</v>
      </c>
      <c r="B166" s="28" t="s">
        <v>1273</v>
      </c>
      <c r="C166" s="28" t="s">
        <v>1274</v>
      </c>
      <c r="D166" s="28" t="s">
        <v>462</v>
      </c>
      <c r="E166" s="28" t="s">
        <v>1275</v>
      </c>
      <c r="F166" s="28" t="s">
        <v>1276</v>
      </c>
      <c r="G166" s="28" t="s">
        <v>465</v>
      </c>
    </row>
    <row r="167" spans="1:7">
      <c r="A167" s="28">
        <v>10793</v>
      </c>
      <c r="B167" s="28" t="s">
        <v>1277</v>
      </c>
      <c r="C167" s="28" t="s">
        <v>1278</v>
      </c>
      <c r="D167" s="28" t="s">
        <v>462</v>
      </c>
      <c r="E167" s="28" t="s">
        <v>1279</v>
      </c>
      <c r="F167" s="28" t="s">
        <v>1280</v>
      </c>
      <c r="G167" s="28" t="s">
        <v>465</v>
      </c>
    </row>
    <row r="168" spans="1:7">
      <c r="A168" s="28">
        <v>10795</v>
      </c>
      <c r="B168" s="28" t="s">
        <v>1281</v>
      </c>
      <c r="C168" s="28" t="s">
        <v>1282</v>
      </c>
      <c r="D168" s="28" t="s">
        <v>462</v>
      </c>
      <c r="E168" s="28" t="s">
        <v>1283</v>
      </c>
      <c r="F168" s="28" t="s">
        <v>1284</v>
      </c>
      <c r="G168" s="28" t="s">
        <v>465</v>
      </c>
    </row>
    <row r="169" spans="1:7">
      <c r="A169" s="28">
        <v>10804</v>
      </c>
      <c r="B169" s="28" t="s">
        <v>1285</v>
      </c>
      <c r="C169" s="28" t="s">
        <v>1286</v>
      </c>
      <c r="D169" s="28" t="s">
        <v>462</v>
      </c>
      <c r="E169" s="28" t="s">
        <v>1287</v>
      </c>
      <c r="F169" s="28" t="s">
        <v>1288</v>
      </c>
      <c r="G169" s="28" t="s">
        <v>465</v>
      </c>
    </row>
    <row r="170" spans="1:7">
      <c r="A170" s="28">
        <v>10808</v>
      </c>
      <c r="B170" s="28" t="s">
        <v>941</v>
      </c>
      <c r="C170" s="28" t="s">
        <v>1289</v>
      </c>
      <c r="D170" s="28" t="s">
        <v>462</v>
      </c>
      <c r="E170" s="28" t="s">
        <v>1290</v>
      </c>
      <c r="F170" s="28" t="s">
        <v>1291</v>
      </c>
      <c r="G170" s="28" t="s">
        <v>465</v>
      </c>
    </row>
    <row r="171" spans="1:7">
      <c r="A171" s="28">
        <v>10814</v>
      </c>
      <c r="B171" s="28" t="s">
        <v>1292</v>
      </c>
      <c r="C171" s="28" t="s">
        <v>1293</v>
      </c>
      <c r="D171" s="28" t="s">
        <v>462</v>
      </c>
      <c r="E171" s="28" t="s">
        <v>1294</v>
      </c>
      <c r="F171" s="28" t="s">
        <v>1295</v>
      </c>
      <c r="G171" s="28" t="s">
        <v>465</v>
      </c>
    </row>
    <row r="172" spans="1:7">
      <c r="A172" s="28">
        <v>10815</v>
      </c>
      <c r="B172" s="28" t="s">
        <v>1296</v>
      </c>
      <c r="C172" s="28" t="s">
        <v>1297</v>
      </c>
      <c r="D172" s="28" t="s">
        <v>462</v>
      </c>
      <c r="E172" s="28" t="s">
        <v>1298</v>
      </c>
      <c r="F172" s="28" t="s">
        <v>1299</v>
      </c>
      <c r="G172" s="28" t="s">
        <v>465</v>
      </c>
    </row>
    <row r="173" spans="1:7">
      <c r="A173" s="28">
        <v>10837</v>
      </c>
      <c r="B173" s="28" t="s">
        <v>1300</v>
      </c>
      <c r="C173" s="28" t="s">
        <v>1301</v>
      </c>
      <c r="D173" s="28" t="s">
        <v>462</v>
      </c>
      <c r="E173" s="28" t="s">
        <v>1302</v>
      </c>
      <c r="F173" s="28" t="s">
        <v>1303</v>
      </c>
      <c r="G173" s="28" t="s">
        <v>465</v>
      </c>
    </row>
    <row r="174" spans="1:7">
      <c r="A174" s="28">
        <v>10849</v>
      </c>
      <c r="B174" s="28" t="s">
        <v>640</v>
      </c>
      <c r="C174" s="28" t="s">
        <v>961</v>
      </c>
      <c r="D174" s="28" t="s">
        <v>462</v>
      </c>
      <c r="E174" s="28" t="s">
        <v>1304</v>
      </c>
      <c r="F174" s="28" t="s">
        <v>1305</v>
      </c>
      <c r="G174" s="28" t="s">
        <v>465</v>
      </c>
    </row>
    <row r="175" spans="1:7">
      <c r="A175" s="28">
        <v>10852</v>
      </c>
      <c r="B175" s="28" t="s">
        <v>1306</v>
      </c>
      <c r="C175" s="28" t="s">
        <v>1307</v>
      </c>
      <c r="D175" s="28" t="s">
        <v>462</v>
      </c>
      <c r="E175" s="28" t="s">
        <v>1308</v>
      </c>
      <c r="F175" s="28" t="s">
        <v>1309</v>
      </c>
      <c r="G175" s="28" t="s">
        <v>465</v>
      </c>
    </row>
    <row r="176" spans="1:7">
      <c r="A176" s="28">
        <v>10856</v>
      </c>
      <c r="B176" s="28" t="s">
        <v>1310</v>
      </c>
      <c r="C176" s="28" t="s">
        <v>1311</v>
      </c>
      <c r="D176" s="28" t="s">
        <v>462</v>
      </c>
      <c r="E176" s="28" t="s">
        <v>1312</v>
      </c>
      <c r="F176" s="28" t="s">
        <v>1313</v>
      </c>
      <c r="G176" s="28" t="s">
        <v>465</v>
      </c>
    </row>
    <row r="177" spans="1:7">
      <c r="A177" s="28">
        <v>10864</v>
      </c>
      <c r="B177" s="28" t="s">
        <v>1314</v>
      </c>
      <c r="C177" s="28" t="s">
        <v>1315</v>
      </c>
      <c r="D177" s="28" t="s">
        <v>462</v>
      </c>
      <c r="E177" s="28" t="s">
        <v>1316</v>
      </c>
      <c r="F177" s="28" t="s">
        <v>1317</v>
      </c>
      <c r="G177" s="28" t="s">
        <v>465</v>
      </c>
    </row>
    <row r="178" spans="1:7">
      <c r="A178" s="28">
        <v>10871</v>
      </c>
      <c r="B178" s="28" t="s">
        <v>1318</v>
      </c>
      <c r="C178" s="28" t="s">
        <v>1319</v>
      </c>
      <c r="D178" s="28" t="s">
        <v>462</v>
      </c>
      <c r="E178" s="28" t="s">
        <v>1320</v>
      </c>
      <c r="F178" s="28" t="s">
        <v>1321</v>
      </c>
      <c r="G178" s="28" t="s">
        <v>465</v>
      </c>
    </row>
    <row r="179" spans="1:7">
      <c r="A179" s="28">
        <v>10874</v>
      </c>
      <c r="B179" s="28" t="s">
        <v>1322</v>
      </c>
      <c r="C179" s="28" t="s">
        <v>1323</v>
      </c>
      <c r="D179" s="28" t="s">
        <v>462</v>
      </c>
      <c r="E179" s="28" t="s">
        <v>1324</v>
      </c>
      <c r="F179" s="28" t="s">
        <v>1325</v>
      </c>
      <c r="G179" s="28" t="s">
        <v>465</v>
      </c>
    </row>
    <row r="180" spans="1:7">
      <c r="A180" s="28">
        <v>10878</v>
      </c>
      <c r="B180" s="28" t="s">
        <v>684</v>
      </c>
      <c r="C180" s="28" t="s">
        <v>183</v>
      </c>
      <c r="D180" s="28" t="s">
        <v>462</v>
      </c>
      <c r="E180" s="28" t="s">
        <v>1326</v>
      </c>
      <c r="F180" s="28" t="s">
        <v>1327</v>
      </c>
      <c r="G180" s="28" t="s">
        <v>465</v>
      </c>
    </row>
    <row r="181" spans="1:7">
      <c r="A181" s="28">
        <v>10881</v>
      </c>
      <c r="B181" s="28" t="s">
        <v>1328</v>
      </c>
      <c r="C181" s="28" t="s">
        <v>1329</v>
      </c>
      <c r="D181" s="28" t="s">
        <v>462</v>
      </c>
      <c r="E181" s="28" t="s">
        <v>1330</v>
      </c>
      <c r="F181" s="28" t="s">
        <v>1331</v>
      </c>
      <c r="G181" s="28" t="s">
        <v>465</v>
      </c>
    </row>
    <row r="182" spans="1:7">
      <c r="A182" s="28">
        <v>10886</v>
      </c>
      <c r="B182" s="28" t="s">
        <v>1332</v>
      </c>
      <c r="C182" s="28" t="s">
        <v>1333</v>
      </c>
      <c r="D182" s="28" t="s">
        <v>462</v>
      </c>
      <c r="E182" s="28" t="s">
        <v>1334</v>
      </c>
      <c r="F182" s="28" t="s">
        <v>1335</v>
      </c>
      <c r="G182" s="28" t="s">
        <v>465</v>
      </c>
    </row>
    <row r="183" spans="1:7">
      <c r="A183" s="28">
        <v>10892</v>
      </c>
      <c r="B183" s="28" t="s">
        <v>1336</v>
      </c>
      <c r="C183" s="28" t="s">
        <v>1337</v>
      </c>
      <c r="D183" s="28" t="s">
        <v>462</v>
      </c>
      <c r="E183" s="28" t="s">
        <v>1338</v>
      </c>
      <c r="F183" s="28" t="s">
        <v>1339</v>
      </c>
      <c r="G183" s="28" t="s">
        <v>465</v>
      </c>
    </row>
    <row r="184" spans="1:7">
      <c r="A184" s="28">
        <v>10897</v>
      </c>
      <c r="B184" s="28" t="s">
        <v>1340</v>
      </c>
      <c r="C184" s="28" t="s">
        <v>1341</v>
      </c>
      <c r="D184" s="28" t="s">
        <v>462</v>
      </c>
      <c r="E184" s="28" t="s">
        <v>1342</v>
      </c>
      <c r="F184" s="28" t="s">
        <v>1343</v>
      </c>
      <c r="G184" s="28" t="s">
        <v>465</v>
      </c>
    </row>
    <row r="185" spans="1:7">
      <c r="A185" s="28">
        <v>10908</v>
      </c>
      <c r="B185" s="28" t="s">
        <v>1344</v>
      </c>
      <c r="C185" s="28" t="s">
        <v>1345</v>
      </c>
      <c r="D185" s="28" t="s">
        <v>462</v>
      </c>
      <c r="E185" s="28" t="s">
        <v>1346</v>
      </c>
      <c r="F185" s="28" t="s">
        <v>1347</v>
      </c>
      <c r="G185" s="28" t="s">
        <v>465</v>
      </c>
    </row>
    <row r="186" spans="1:7">
      <c r="A186" s="28">
        <v>10909</v>
      </c>
      <c r="B186" s="28" t="s">
        <v>1348</v>
      </c>
      <c r="C186" s="28" t="s">
        <v>1349</v>
      </c>
      <c r="D186" s="28" t="s">
        <v>462</v>
      </c>
      <c r="E186" s="28" t="s">
        <v>1350</v>
      </c>
      <c r="F186" s="28" t="s">
        <v>1351</v>
      </c>
      <c r="G186" s="28" t="s">
        <v>465</v>
      </c>
    </row>
    <row r="187" spans="1:7">
      <c r="A187" s="28">
        <v>10911</v>
      </c>
      <c r="B187" s="28" t="s">
        <v>1352</v>
      </c>
      <c r="C187" s="28" t="s">
        <v>1353</v>
      </c>
      <c r="D187" s="28" t="s">
        <v>462</v>
      </c>
      <c r="E187" s="28" t="s">
        <v>1354</v>
      </c>
      <c r="F187" s="28" t="s">
        <v>1355</v>
      </c>
      <c r="G187" s="28" t="s">
        <v>465</v>
      </c>
    </row>
    <row r="188" spans="1:7">
      <c r="A188" s="28">
        <v>10912</v>
      </c>
      <c r="B188" s="28" t="s">
        <v>1356</v>
      </c>
      <c r="C188" s="28" t="s">
        <v>1357</v>
      </c>
      <c r="D188" s="28" t="s">
        <v>462</v>
      </c>
      <c r="E188" s="28" t="s">
        <v>1358</v>
      </c>
      <c r="F188" s="28" t="s">
        <v>1359</v>
      </c>
      <c r="G188" s="28" t="s">
        <v>465</v>
      </c>
    </row>
    <row r="189" spans="1:7">
      <c r="A189" s="28">
        <v>10917</v>
      </c>
      <c r="B189" s="28" t="s">
        <v>1360</v>
      </c>
      <c r="C189" s="28" t="s">
        <v>1361</v>
      </c>
      <c r="D189" s="28" t="s">
        <v>462</v>
      </c>
      <c r="E189" s="28" t="s">
        <v>1362</v>
      </c>
      <c r="F189" s="28" t="s">
        <v>1363</v>
      </c>
      <c r="G189" s="28" t="s">
        <v>465</v>
      </c>
    </row>
    <row r="190" spans="1:7">
      <c r="A190" s="28">
        <v>10920</v>
      </c>
      <c r="B190" s="28" t="s">
        <v>804</v>
      </c>
      <c r="C190" s="28" t="s">
        <v>1364</v>
      </c>
      <c r="D190" s="28" t="s">
        <v>462</v>
      </c>
      <c r="E190" s="28" t="s">
        <v>1365</v>
      </c>
      <c r="F190" s="28" t="s">
        <v>1366</v>
      </c>
      <c r="G190" s="28" t="s">
        <v>465</v>
      </c>
    </row>
    <row r="191" spans="1:7">
      <c r="A191" s="28">
        <v>10929</v>
      </c>
      <c r="B191" s="28" t="s">
        <v>1367</v>
      </c>
      <c r="C191" s="28" t="s">
        <v>1368</v>
      </c>
      <c r="D191" s="28" t="s">
        <v>462</v>
      </c>
      <c r="E191" s="28" t="s">
        <v>1369</v>
      </c>
      <c r="F191" s="28" t="s">
        <v>1370</v>
      </c>
      <c r="G191" s="28" t="s">
        <v>465</v>
      </c>
    </row>
    <row r="192" spans="1:7">
      <c r="A192" s="28">
        <v>10930</v>
      </c>
      <c r="B192" s="28" t="s">
        <v>1371</v>
      </c>
      <c r="C192" s="28" t="s">
        <v>1372</v>
      </c>
      <c r="D192" s="28" t="s">
        <v>462</v>
      </c>
      <c r="E192" s="28" t="s">
        <v>1373</v>
      </c>
      <c r="F192" s="28" t="s">
        <v>1374</v>
      </c>
      <c r="G192" s="28" t="s">
        <v>465</v>
      </c>
    </row>
    <row r="193" spans="1:7">
      <c r="A193" s="28">
        <v>10931</v>
      </c>
      <c r="B193" s="28" t="s">
        <v>1375</v>
      </c>
      <c r="C193" s="28" t="s">
        <v>1376</v>
      </c>
      <c r="D193" s="28" t="s">
        <v>462</v>
      </c>
      <c r="E193" s="28" t="s">
        <v>1377</v>
      </c>
      <c r="F193" s="28" t="s">
        <v>1378</v>
      </c>
      <c r="G193" s="28" t="s">
        <v>465</v>
      </c>
    </row>
    <row r="194" spans="1:7">
      <c r="A194" s="28">
        <v>10933</v>
      </c>
      <c r="B194" s="28" t="s">
        <v>1379</v>
      </c>
      <c r="C194" s="28" t="s">
        <v>1380</v>
      </c>
      <c r="D194" s="28" t="s">
        <v>462</v>
      </c>
      <c r="E194" s="28" t="s">
        <v>1381</v>
      </c>
      <c r="F194" s="28" t="s">
        <v>1382</v>
      </c>
      <c r="G194" s="28" t="s">
        <v>465</v>
      </c>
    </row>
    <row r="195" spans="1:7">
      <c r="A195" s="28">
        <v>10935</v>
      </c>
      <c r="B195" s="28" t="s">
        <v>1383</v>
      </c>
      <c r="C195" s="28" t="s">
        <v>1384</v>
      </c>
      <c r="D195" s="28" t="s">
        <v>462</v>
      </c>
      <c r="E195" s="28" t="s">
        <v>1385</v>
      </c>
      <c r="F195" s="28" t="s">
        <v>1386</v>
      </c>
      <c r="G195" s="28" t="s">
        <v>465</v>
      </c>
    </row>
    <row r="196" spans="1:7">
      <c r="A196" s="28">
        <v>10936</v>
      </c>
      <c r="B196" s="28" t="s">
        <v>1387</v>
      </c>
      <c r="C196" s="28" t="s">
        <v>1388</v>
      </c>
      <c r="D196" s="28" t="s">
        <v>462</v>
      </c>
      <c r="E196" s="28" t="s">
        <v>1389</v>
      </c>
      <c r="F196" s="28" t="s">
        <v>1390</v>
      </c>
      <c r="G196" s="28" t="s">
        <v>465</v>
      </c>
    </row>
    <row r="197" spans="1:7">
      <c r="A197" s="28">
        <v>10938</v>
      </c>
      <c r="B197" s="28" t="s">
        <v>1391</v>
      </c>
      <c r="C197" s="28" t="s">
        <v>1392</v>
      </c>
      <c r="D197" s="28" t="s">
        <v>462</v>
      </c>
      <c r="E197" s="28" t="s">
        <v>1393</v>
      </c>
      <c r="F197" s="28" t="s">
        <v>1394</v>
      </c>
      <c r="G197" s="28" t="s">
        <v>465</v>
      </c>
    </row>
    <row r="198" spans="1:7">
      <c r="A198" s="28">
        <v>10940</v>
      </c>
      <c r="B198" s="28" t="s">
        <v>788</v>
      </c>
      <c r="C198" s="28" t="s">
        <v>1395</v>
      </c>
      <c r="D198" s="28" t="s">
        <v>462</v>
      </c>
      <c r="E198" s="28" t="s">
        <v>1396</v>
      </c>
      <c r="F198" s="28" t="s">
        <v>1397</v>
      </c>
      <c r="G198" s="28" t="s">
        <v>465</v>
      </c>
    </row>
    <row r="199" spans="1:7">
      <c r="A199" s="28">
        <v>10943</v>
      </c>
      <c r="B199" s="28" t="s">
        <v>1258</v>
      </c>
      <c r="C199" s="28" t="s">
        <v>1398</v>
      </c>
      <c r="D199" s="28" t="s">
        <v>462</v>
      </c>
      <c r="E199" s="28" t="s">
        <v>1399</v>
      </c>
      <c r="F199" s="28" t="s">
        <v>1400</v>
      </c>
      <c r="G199" s="28" t="s">
        <v>465</v>
      </c>
    </row>
    <row r="200" spans="1:7">
      <c r="A200" s="28">
        <v>10946</v>
      </c>
      <c r="B200" s="28" t="s">
        <v>1401</v>
      </c>
      <c r="C200" s="28" t="s">
        <v>1402</v>
      </c>
      <c r="D200" s="28" t="s">
        <v>462</v>
      </c>
      <c r="E200" s="28" t="s">
        <v>1403</v>
      </c>
      <c r="F200" s="28" t="s">
        <v>1404</v>
      </c>
      <c r="G200" s="28" t="s">
        <v>465</v>
      </c>
    </row>
    <row r="201" spans="1:7">
      <c r="A201" s="28">
        <v>10947</v>
      </c>
      <c r="B201" s="28" t="s">
        <v>1405</v>
      </c>
      <c r="C201" s="28" t="s">
        <v>1406</v>
      </c>
      <c r="D201" s="28" t="s">
        <v>462</v>
      </c>
      <c r="E201" s="28" t="s">
        <v>1407</v>
      </c>
      <c r="F201" s="28" t="s">
        <v>1408</v>
      </c>
      <c r="G201" s="28" t="s">
        <v>465</v>
      </c>
    </row>
    <row r="202" spans="1:7">
      <c r="A202" s="28">
        <v>10950</v>
      </c>
      <c r="B202" s="28" t="s">
        <v>1409</v>
      </c>
      <c r="C202" s="28" t="s">
        <v>1410</v>
      </c>
      <c r="D202" s="28" t="s">
        <v>462</v>
      </c>
      <c r="E202" s="28" t="s">
        <v>1411</v>
      </c>
      <c r="F202" s="28" t="s">
        <v>1412</v>
      </c>
      <c r="G202" s="28" t="s">
        <v>465</v>
      </c>
    </row>
    <row r="203" spans="1:7">
      <c r="A203" s="28">
        <v>10954</v>
      </c>
      <c r="B203" s="28" t="s">
        <v>858</v>
      </c>
      <c r="C203" s="28" t="s">
        <v>1413</v>
      </c>
      <c r="D203" s="28" t="s">
        <v>462</v>
      </c>
      <c r="E203" s="28" t="s">
        <v>1414</v>
      </c>
      <c r="F203" s="28" t="s">
        <v>1415</v>
      </c>
      <c r="G203" s="28" t="s">
        <v>465</v>
      </c>
    </row>
    <row r="204" spans="1:7">
      <c r="A204" s="28">
        <v>10955</v>
      </c>
      <c r="B204" s="28" t="s">
        <v>784</v>
      </c>
      <c r="C204" s="28" t="s">
        <v>1416</v>
      </c>
      <c r="D204" s="28" t="s">
        <v>462</v>
      </c>
      <c r="E204" s="28" t="s">
        <v>1417</v>
      </c>
      <c r="F204" s="28" t="s">
        <v>1418</v>
      </c>
      <c r="G204" s="28" t="s">
        <v>465</v>
      </c>
    </row>
    <row r="205" spans="1:7">
      <c r="A205" s="28">
        <v>10958</v>
      </c>
      <c r="B205" s="28" t="s">
        <v>1419</v>
      </c>
      <c r="C205" s="28" t="s">
        <v>1420</v>
      </c>
      <c r="D205" s="28" t="s">
        <v>462</v>
      </c>
      <c r="E205" s="28" t="s">
        <v>1421</v>
      </c>
      <c r="F205" s="28" t="s">
        <v>1422</v>
      </c>
      <c r="G205" s="28" t="s">
        <v>465</v>
      </c>
    </row>
    <row r="206" spans="1:7">
      <c r="A206" s="28">
        <v>10960</v>
      </c>
      <c r="B206" s="28" t="s">
        <v>1423</v>
      </c>
      <c r="C206" s="28" t="s">
        <v>1424</v>
      </c>
      <c r="D206" s="28" t="s">
        <v>462</v>
      </c>
      <c r="E206" s="28" t="s">
        <v>1425</v>
      </c>
      <c r="F206" s="28" t="s">
        <v>1426</v>
      </c>
      <c r="G206" s="28" t="s">
        <v>465</v>
      </c>
    </row>
    <row r="207" spans="1:7">
      <c r="A207" s="28">
        <v>10962</v>
      </c>
      <c r="B207" s="28" t="s">
        <v>1391</v>
      </c>
      <c r="C207" s="28" t="s">
        <v>658</v>
      </c>
      <c r="D207" s="28" t="s">
        <v>462</v>
      </c>
      <c r="E207" s="28" t="s">
        <v>1427</v>
      </c>
      <c r="F207" s="28" t="s">
        <v>1428</v>
      </c>
      <c r="G207" s="28" t="s">
        <v>465</v>
      </c>
    </row>
    <row r="208" spans="1:7">
      <c r="A208" s="28">
        <v>10963</v>
      </c>
      <c r="B208" s="28" t="s">
        <v>1429</v>
      </c>
      <c r="C208" s="28" t="s">
        <v>1430</v>
      </c>
      <c r="D208" s="28" t="s">
        <v>462</v>
      </c>
      <c r="E208" s="28" t="s">
        <v>1431</v>
      </c>
      <c r="F208" s="28" t="s">
        <v>1432</v>
      </c>
      <c r="G208" s="28" t="s">
        <v>465</v>
      </c>
    </row>
    <row r="209" spans="1:7">
      <c r="A209" s="28">
        <v>10965</v>
      </c>
      <c r="B209" s="28" t="s">
        <v>1433</v>
      </c>
      <c r="C209" s="28" t="s">
        <v>1434</v>
      </c>
      <c r="D209" s="28" t="s">
        <v>462</v>
      </c>
      <c r="E209" s="28" t="s">
        <v>1435</v>
      </c>
      <c r="F209" s="28" t="s">
        <v>1436</v>
      </c>
      <c r="G209" s="28" t="s">
        <v>465</v>
      </c>
    </row>
    <row r="210" spans="1:7">
      <c r="A210" s="28">
        <v>10972</v>
      </c>
      <c r="B210" s="28" t="s">
        <v>1387</v>
      </c>
      <c r="C210" s="28" t="s">
        <v>1437</v>
      </c>
      <c r="D210" s="28" t="s">
        <v>462</v>
      </c>
      <c r="E210" s="28" t="s">
        <v>1438</v>
      </c>
      <c r="F210" s="28" t="s">
        <v>1439</v>
      </c>
      <c r="G210" s="28" t="s">
        <v>465</v>
      </c>
    </row>
    <row r="211" spans="1:7">
      <c r="A211" s="28">
        <v>10973</v>
      </c>
      <c r="B211" s="28" t="s">
        <v>1440</v>
      </c>
      <c r="C211" s="28" t="s">
        <v>1441</v>
      </c>
      <c r="D211" s="28" t="s">
        <v>462</v>
      </c>
      <c r="E211" s="28" t="s">
        <v>1442</v>
      </c>
      <c r="F211" s="28" t="s">
        <v>1443</v>
      </c>
      <c r="G211" s="28" t="s">
        <v>465</v>
      </c>
    </row>
    <row r="212" spans="1:7">
      <c r="A212" s="28">
        <v>10982</v>
      </c>
      <c r="B212" s="28" t="s">
        <v>1444</v>
      </c>
      <c r="C212" s="28" t="s">
        <v>1445</v>
      </c>
      <c r="D212" s="28" t="s">
        <v>462</v>
      </c>
      <c r="E212" s="28" t="s">
        <v>1446</v>
      </c>
      <c r="F212" s="28" t="s">
        <v>1447</v>
      </c>
      <c r="G212" s="28" t="s">
        <v>465</v>
      </c>
    </row>
    <row r="213" spans="1:7">
      <c r="A213" s="28">
        <v>10987</v>
      </c>
      <c r="B213" s="28" t="s">
        <v>1448</v>
      </c>
      <c r="C213" s="28" t="s">
        <v>1433</v>
      </c>
      <c r="D213" s="28" t="s">
        <v>462</v>
      </c>
      <c r="E213" s="28" t="s">
        <v>1449</v>
      </c>
      <c r="F213" s="28" t="s">
        <v>1450</v>
      </c>
      <c r="G213" s="28" t="s">
        <v>465</v>
      </c>
    </row>
    <row r="214" spans="1:7">
      <c r="A214" s="28">
        <v>10989</v>
      </c>
      <c r="B214" s="28" t="s">
        <v>1451</v>
      </c>
      <c r="C214" s="28" t="s">
        <v>1452</v>
      </c>
      <c r="D214" s="28" t="s">
        <v>462</v>
      </c>
      <c r="E214" s="28" t="s">
        <v>1453</v>
      </c>
      <c r="F214" s="28" t="s">
        <v>1454</v>
      </c>
      <c r="G214" s="28" t="s">
        <v>465</v>
      </c>
    </row>
    <row r="215" spans="1:7">
      <c r="A215" s="28">
        <v>10991</v>
      </c>
      <c r="B215" s="28" t="s">
        <v>1455</v>
      </c>
      <c r="C215" s="28" t="s">
        <v>1456</v>
      </c>
      <c r="D215" s="28" t="s">
        <v>462</v>
      </c>
      <c r="E215" s="28" t="s">
        <v>1457</v>
      </c>
      <c r="F215" s="28" t="s">
        <v>1458</v>
      </c>
      <c r="G215" s="28" t="s">
        <v>465</v>
      </c>
    </row>
    <row r="216" spans="1:7">
      <c r="A216" s="28">
        <v>11004</v>
      </c>
      <c r="B216" s="28" t="s">
        <v>1459</v>
      </c>
      <c r="C216" s="28" t="s">
        <v>1460</v>
      </c>
      <c r="D216" s="28" t="s">
        <v>462</v>
      </c>
      <c r="E216" s="28" t="s">
        <v>1461</v>
      </c>
      <c r="F216" s="28" t="s">
        <v>1462</v>
      </c>
      <c r="G216" s="28" t="s">
        <v>465</v>
      </c>
    </row>
    <row r="217" spans="1:7">
      <c r="A217" s="28">
        <v>11005</v>
      </c>
      <c r="B217" s="28" t="s">
        <v>1463</v>
      </c>
      <c r="C217" s="28" t="s">
        <v>1464</v>
      </c>
      <c r="D217" s="28" t="s">
        <v>462</v>
      </c>
      <c r="E217" s="28" t="s">
        <v>1465</v>
      </c>
      <c r="F217" s="28" t="s">
        <v>1466</v>
      </c>
      <c r="G217" s="28" t="s">
        <v>465</v>
      </c>
    </row>
    <row r="218" spans="1:7">
      <c r="A218" s="28">
        <v>11007</v>
      </c>
      <c r="B218" s="28" t="s">
        <v>1046</v>
      </c>
      <c r="C218" s="28" t="s">
        <v>1467</v>
      </c>
      <c r="D218" s="28" t="s">
        <v>462</v>
      </c>
      <c r="E218" s="28" t="s">
        <v>1468</v>
      </c>
      <c r="F218" s="28" t="s">
        <v>1469</v>
      </c>
      <c r="G218" s="28" t="s">
        <v>465</v>
      </c>
    </row>
    <row r="219" spans="1:7">
      <c r="A219" s="28">
        <v>11011</v>
      </c>
      <c r="B219" s="28" t="s">
        <v>1246</v>
      </c>
      <c r="C219" s="28" t="s">
        <v>1470</v>
      </c>
      <c r="D219" s="28" t="s">
        <v>462</v>
      </c>
      <c r="E219" s="28" t="s">
        <v>1471</v>
      </c>
      <c r="F219" s="28" t="s">
        <v>1472</v>
      </c>
      <c r="G219" s="28" t="s">
        <v>465</v>
      </c>
    </row>
    <row r="220" spans="1:7">
      <c r="A220" s="28">
        <v>11022</v>
      </c>
      <c r="B220" s="28" t="s">
        <v>1473</v>
      </c>
      <c r="C220" s="28" t="s">
        <v>1474</v>
      </c>
      <c r="D220" s="28" t="s">
        <v>462</v>
      </c>
      <c r="E220" s="28" t="s">
        <v>1475</v>
      </c>
      <c r="F220" s="28" t="s">
        <v>1476</v>
      </c>
      <c r="G220" s="28" t="s">
        <v>465</v>
      </c>
    </row>
    <row r="221" spans="1:7">
      <c r="A221" s="28">
        <v>11025</v>
      </c>
      <c r="B221" s="28" t="s">
        <v>1477</v>
      </c>
      <c r="C221" s="28" t="s">
        <v>1478</v>
      </c>
      <c r="D221" s="28" t="s">
        <v>462</v>
      </c>
      <c r="E221" s="28" t="s">
        <v>1479</v>
      </c>
      <c r="F221" s="28" t="s">
        <v>1480</v>
      </c>
      <c r="G221" s="28" t="s">
        <v>465</v>
      </c>
    </row>
    <row r="222" spans="1:7">
      <c r="A222" s="28">
        <v>11026</v>
      </c>
      <c r="B222" s="28" t="s">
        <v>1481</v>
      </c>
      <c r="C222" s="28" t="s">
        <v>1482</v>
      </c>
      <c r="D222" s="28" t="s">
        <v>462</v>
      </c>
      <c r="E222" s="28" t="s">
        <v>1483</v>
      </c>
      <c r="F222" s="28" t="s">
        <v>1484</v>
      </c>
      <c r="G222" s="28" t="s">
        <v>465</v>
      </c>
    </row>
    <row r="223" spans="1:7">
      <c r="A223" s="28">
        <v>11035</v>
      </c>
      <c r="B223" s="28" t="s">
        <v>1485</v>
      </c>
      <c r="C223" s="28" t="s">
        <v>1486</v>
      </c>
      <c r="D223" s="28" t="s">
        <v>462</v>
      </c>
      <c r="E223" s="28" t="s">
        <v>1487</v>
      </c>
      <c r="F223" s="28" t="s">
        <v>1488</v>
      </c>
      <c r="G223" s="28" t="s">
        <v>465</v>
      </c>
    </row>
    <row r="224" spans="1:7">
      <c r="A224" s="28">
        <v>11047</v>
      </c>
      <c r="B224" s="28" t="s">
        <v>792</v>
      </c>
      <c r="C224" s="28" t="s">
        <v>1489</v>
      </c>
      <c r="D224" s="28" t="s">
        <v>462</v>
      </c>
      <c r="E224" s="28" t="s">
        <v>1490</v>
      </c>
      <c r="F224" s="28" t="s">
        <v>1491</v>
      </c>
      <c r="G224" s="28" t="s">
        <v>465</v>
      </c>
    </row>
    <row r="225" spans="1:7">
      <c r="A225" s="28">
        <v>11049</v>
      </c>
      <c r="B225" s="28" t="s">
        <v>1046</v>
      </c>
      <c r="C225" s="28" t="s">
        <v>1492</v>
      </c>
      <c r="D225" s="28" t="s">
        <v>462</v>
      </c>
      <c r="E225" s="28" t="s">
        <v>1493</v>
      </c>
      <c r="F225" s="28" t="s">
        <v>1494</v>
      </c>
      <c r="G225" s="28" t="s">
        <v>465</v>
      </c>
    </row>
    <row r="226" spans="1:7">
      <c r="A226" s="28">
        <v>11050</v>
      </c>
      <c r="B226" s="28" t="s">
        <v>732</v>
      </c>
      <c r="C226" s="28" t="s">
        <v>1495</v>
      </c>
      <c r="D226" s="28" t="s">
        <v>462</v>
      </c>
      <c r="E226" s="28" t="s">
        <v>1496</v>
      </c>
      <c r="F226" s="28" t="s">
        <v>1497</v>
      </c>
      <c r="G226" s="28" t="s">
        <v>465</v>
      </c>
    </row>
    <row r="227" spans="1:7">
      <c r="A227" s="28">
        <v>11052</v>
      </c>
      <c r="B227" s="28" t="s">
        <v>1310</v>
      </c>
      <c r="C227" s="28" t="s">
        <v>467</v>
      </c>
      <c r="D227" s="28" t="s">
        <v>462</v>
      </c>
      <c r="E227" s="28" t="s">
        <v>1498</v>
      </c>
      <c r="F227" s="28" t="s">
        <v>1499</v>
      </c>
      <c r="G227" s="28" t="s">
        <v>465</v>
      </c>
    </row>
    <row r="228" spans="1:7">
      <c r="A228" s="28">
        <v>11053</v>
      </c>
      <c r="B228" s="28" t="s">
        <v>1500</v>
      </c>
      <c r="C228" s="28" t="s">
        <v>1501</v>
      </c>
      <c r="D228" s="28" t="s">
        <v>462</v>
      </c>
      <c r="E228" s="28" t="s">
        <v>1502</v>
      </c>
      <c r="F228" s="28" t="s">
        <v>1503</v>
      </c>
      <c r="G228" s="28" t="s">
        <v>465</v>
      </c>
    </row>
    <row r="229" spans="1:7">
      <c r="A229" s="28">
        <v>11068</v>
      </c>
      <c r="B229" s="28" t="s">
        <v>1504</v>
      </c>
      <c r="C229" s="28" t="s">
        <v>1505</v>
      </c>
      <c r="D229" s="28" t="s">
        <v>462</v>
      </c>
      <c r="E229" s="28" t="s">
        <v>1506</v>
      </c>
      <c r="F229" s="28" t="s">
        <v>1507</v>
      </c>
      <c r="G229" s="28" t="s">
        <v>465</v>
      </c>
    </row>
    <row r="230" spans="1:7">
      <c r="A230" s="28">
        <v>11069</v>
      </c>
      <c r="B230" s="28" t="s">
        <v>1508</v>
      </c>
      <c r="C230" s="28" t="s">
        <v>1509</v>
      </c>
      <c r="D230" s="28" t="s">
        <v>462</v>
      </c>
      <c r="E230" s="28" t="s">
        <v>1510</v>
      </c>
      <c r="F230" s="28" t="s">
        <v>1511</v>
      </c>
      <c r="G230" s="28" t="s">
        <v>465</v>
      </c>
    </row>
    <row r="231" spans="1:7">
      <c r="A231" s="28">
        <v>11083</v>
      </c>
      <c r="B231" s="28" t="s">
        <v>1512</v>
      </c>
      <c r="C231" s="28" t="s">
        <v>1513</v>
      </c>
      <c r="D231" s="28" t="s">
        <v>462</v>
      </c>
      <c r="E231" s="28" t="s">
        <v>1514</v>
      </c>
      <c r="F231" s="28" t="s">
        <v>1515</v>
      </c>
      <c r="G231" s="28" t="s">
        <v>465</v>
      </c>
    </row>
    <row r="232" spans="1:7">
      <c r="A232" s="28">
        <v>11086</v>
      </c>
      <c r="B232" s="28" t="s">
        <v>1516</v>
      </c>
      <c r="C232" s="28" t="s">
        <v>1224</v>
      </c>
      <c r="D232" s="28" t="s">
        <v>462</v>
      </c>
      <c r="E232" s="28" t="s">
        <v>1517</v>
      </c>
      <c r="F232" s="28" t="s">
        <v>1518</v>
      </c>
      <c r="G232" s="28" t="s">
        <v>465</v>
      </c>
    </row>
    <row r="233" spans="1:7">
      <c r="A233" s="28">
        <v>11090</v>
      </c>
      <c r="B233" s="28" t="s">
        <v>470</v>
      </c>
      <c r="C233" s="28" t="s">
        <v>1519</v>
      </c>
      <c r="D233" s="28" t="s">
        <v>462</v>
      </c>
      <c r="E233" s="28" t="s">
        <v>1520</v>
      </c>
      <c r="F233" s="28" t="s">
        <v>1521</v>
      </c>
      <c r="G233" s="28" t="s">
        <v>465</v>
      </c>
    </row>
    <row r="234" spans="1:7">
      <c r="A234" s="28">
        <v>11093</v>
      </c>
      <c r="B234" s="28" t="s">
        <v>1300</v>
      </c>
      <c r="C234" s="28" t="s">
        <v>1522</v>
      </c>
      <c r="D234" s="28" t="s">
        <v>462</v>
      </c>
      <c r="E234" s="28" t="s">
        <v>1523</v>
      </c>
      <c r="F234" s="28" t="s">
        <v>1524</v>
      </c>
      <c r="G234" s="28" t="s">
        <v>465</v>
      </c>
    </row>
    <row r="235" spans="1:7">
      <c r="A235" s="28">
        <v>11097</v>
      </c>
      <c r="B235" s="28" t="s">
        <v>506</v>
      </c>
      <c r="C235" s="28" t="s">
        <v>1525</v>
      </c>
      <c r="D235" s="28" t="s">
        <v>462</v>
      </c>
      <c r="E235" s="28" t="s">
        <v>1526</v>
      </c>
      <c r="F235" s="28" t="s">
        <v>1527</v>
      </c>
      <c r="G235" s="28" t="s">
        <v>465</v>
      </c>
    </row>
    <row r="236" spans="1:7">
      <c r="A236" s="28">
        <v>11103</v>
      </c>
      <c r="B236" s="28" t="s">
        <v>1528</v>
      </c>
      <c r="C236" s="28" t="s">
        <v>658</v>
      </c>
      <c r="D236" s="28" t="s">
        <v>462</v>
      </c>
      <c r="E236" s="28" t="s">
        <v>1529</v>
      </c>
      <c r="F236" s="28" t="s">
        <v>1530</v>
      </c>
      <c r="G236" s="28" t="s">
        <v>465</v>
      </c>
    </row>
    <row r="237" spans="1:7">
      <c r="A237" s="28">
        <v>11104</v>
      </c>
      <c r="B237" s="28" t="s">
        <v>1531</v>
      </c>
      <c r="C237" s="28" t="s">
        <v>1532</v>
      </c>
      <c r="D237" s="28" t="s">
        <v>462</v>
      </c>
      <c r="E237" s="28" t="s">
        <v>1533</v>
      </c>
      <c r="F237" s="28" t="s">
        <v>1534</v>
      </c>
      <c r="G237" s="28" t="s">
        <v>465</v>
      </c>
    </row>
    <row r="238" spans="1:7">
      <c r="A238" s="28">
        <v>11107</v>
      </c>
      <c r="B238" s="28" t="s">
        <v>1535</v>
      </c>
      <c r="C238" s="28" t="s">
        <v>1536</v>
      </c>
      <c r="D238" s="28" t="s">
        <v>462</v>
      </c>
      <c r="E238" s="28" t="s">
        <v>1537</v>
      </c>
      <c r="F238" s="28" t="s">
        <v>1538</v>
      </c>
      <c r="G238" s="28" t="s">
        <v>465</v>
      </c>
    </row>
    <row r="239" spans="1:7">
      <c r="A239" s="28">
        <v>11109</v>
      </c>
      <c r="B239" s="28" t="s">
        <v>1539</v>
      </c>
      <c r="C239" s="28" t="s">
        <v>1540</v>
      </c>
      <c r="D239" s="28" t="s">
        <v>462</v>
      </c>
      <c r="E239" s="28" t="s">
        <v>1541</v>
      </c>
      <c r="F239" s="28" t="s">
        <v>1542</v>
      </c>
      <c r="G239" s="28" t="s">
        <v>465</v>
      </c>
    </row>
    <row r="240" spans="1:7">
      <c r="A240" s="28">
        <v>11111</v>
      </c>
      <c r="B240" s="28" t="s">
        <v>1543</v>
      </c>
      <c r="C240" s="28" t="s">
        <v>1544</v>
      </c>
      <c r="D240" s="28" t="s">
        <v>462</v>
      </c>
      <c r="E240" s="28" t="s">
        <v>1545</v>
      </c>
      <c r="F240" s="28" t="s">
        <v>1546</v>
      </c>
      <c r="G240" s="28" t="s">
        <v>465</v>
      </c>
    </row>
    <row r="241" spans="1:7">
      <c r="A241" s="28">
        <v>11115</v>
      </c>
      <c r="B241" s="28" t="s">
        <v>885</v>
      </c>
      <c r="C241" s="28" t="s">
        <v>1547</v>
      </c>
      <c r="D241" s="28" t="s">
        <v>462</v>
      </c>
      <c r="E241" s="28" t="s">
        <v>1548</v>
      </c>
      <c r="F241" s="28" t="s">
        <v>1549</v>
      </c>
      <c r="G241" s="28" t="s">
        <v>465</v>
      </c>
    </row>
    <row r="242" spans="1:7">
      <c r="A242" s="28">
        <v>11116</v>
      </c>
      <c r="B242" s="28" t="s">
        <v>1010</v>
      </c>
      <c r="C242" s="28" t="s">
        <v>1550</v>
      </c>
      <c r="D242" s="28" t="s">
        <v>462</v>
      </c>
      <c r="E242" s="28" t="s">
        <v>1551</v>
      </c>
      <c r="F242" s="28" t="s">
        <v>1552</v>
      </c>
      <c r="G242" s="28" t="s">
        <v>465</v>
      </c>
    </row>
    <row r="243" spans="1:7">
      <c r="A243" s="28">
        <v>11117</v>
      </c>
      <c r="B243" s="28" t="s">
        <v>784</v>
      </c>
      <c r="C243" s="28" t="s">
        <v>1553</v>
      </c>
      <c r="D243" s="28" t="s">
        <v>462</v>
      </c>
      <c r="E243" s="28" t="s">
        <v>1554</v>
      </c>
      <c r="F243" s="28" t="s">
        <v>1555</v>
      </c>
      <c r="G243" s="28" t="s">
        <v>465</v>
      </c>
    </row>
    <row r="244" spans="1:7">
      <c r="A244" s="28">
        <v>11125</v>
      </c>
      <c r="B244" s="28" t="s">
        <v>1556</v>
      </c>
      <c r="C244" s="28" t="s">
        <v>1557</v>
      </c>
      <c r="D244" s="28" t="s">
        <v>462</v>
      </c>
      <c r="E244" s="28" t="s">
        <v>1558</v>
      </c>
      <c r="F244" s="28" t="s">
        <v>1559</v>
      </c>
      <c r="G244" s="28" t="s">
        <v>465</v>
      </c>
    </row>
    <row r="245" spans="1:7">
      <c r="A245" s="28">
        <v>11129</v>
      </c>
      <c r="B245" s="28" t="s">
        <v>1560</v>
      </c>
      <c r="C245" s="28" t="s">
        <v>1561</v>
      </c>
      <c r="D245" s="28" t="s">
        <v>462</v>
      </c>
      <c r="E245" s="28" t="s">
        <v>1562</v>
      </c>
      <c r="F245" s="28" t="s">
        <v>1563</v>
      </c>
      <c r="G245" s="28" t="s">
        <v>465</v>
      </c>
    </row>
    <row r="246" spans="1:7">
      <c r="A246" s="28">
        <v>11130</v>
      </c>
      <c r="B246" s="28" t="s">
        <v>1564</v>
      </c>
      <c r="C246" s="28" t="s">
        <v>1565</v>
      </c>
      <c r="D246" s="28" t="s">
        <v>462</v>
      </c>
      <c r="E246" s="28" t="s">
        <v>1566</v>
      </c>
      <c r="F246" s="28" t="s">
        <v>1567</v>
      </c>
      <c r="G246" s="28" t="s">
        <v>465</v>
      </c>
    </row>
    <row r="247" spans="1:7">
      <c r="A247" s="28">
        <v>11131</v>
      </c>
      <c r="B247" s="28" t="s">
        <v>1568</v>
      </c>
      <c r="C247" s="28" t="s">
        <v>1569</v>
      </c>
      <c r="D247" s="28" t="s">
        <v>462</v>
      </c>
      <c r="E247" s="28" t="s">
        <v>1570</v>
      </c>
      <c r="F247" s="28" t="s">
        <v>1571</v>
      </c>
      <c r="G247" s="28" t="s">
        <v>465</v>
      </c>
    </row>
    <row r="248" spans="1:7">
      <c r="A248" s="28">
        <v>11132</v>
      </c>
      <c r="B248" s="28" t="s">
        <v>645</v>
      </c>
      <c r="C248" s="28" t="s">
        <v>1572</v>
      </c>
      <c r="D248" s="28" t="s">
        <v>462</v>
      </c>
      <c r="E248" s="28" t="s">
        <v>1573</v>
      </c>
      <c r="F248" s="28" t="s">
        <v>1574</v>
      </c>
      <c r="G248" s="28" t="s">
        <v>465</v>
      </c>
    </row>
    <row r="249" spans="1:7">
      <c r="A249" s="28">
        <v>11133</v>
      </c>
      <c r="B249" s="28" t="s">
        <v>968</v>
      </c>
      <c r="C249" s="28" t="s">
        <v>1575</v>
      </c>
      <c r="D249" s="28" t="s">
        <v>462</v>
      </c>
      <c r="E249" s="28" t="s">
        <v>1576</v>
      </c>
      <c r="F249" s="28" t="s">
        <v>1577</v>
      </c>
      <c r="G249" s="28" t="s">
        <v>465</v>
      </c>
    </row>
    <row r="250" spans="1:7">
      <c r="A250" s="28">
        <v>11135</v>
      </c>
      <c r="B250" s="28" t="s">
        <v>1578</v>
      </c>
      <c r="C250" s="28" t="s">
        <v>1579</v>
      </c>
      <c r="D250" s="28" t="s">
        <v>462</v>
      </c>
      <c r="E250" s="28" t="s">
        <v>1580</v>
      </c>
      <c r="F250" s="28" t="s">
        <v>1581</v>
      </c>
      <c r="G250" s="28" t="s">
        <v>465</v>
      </c>
    </row>
    <row r="251" spans="1:7">
      <c r="A251" s="28">
        <v>11139</v>
      </c>
      <c r="B251" s="28" t="s">
        <v>1387</v>
      </c>
      <c r="C251" s="28" t="s">
        <v>1047</v>
      </c>
      <c r="D251" s="28" t="s">
        <v>462</v>
      </c>
      <c r="E251" s="28" t="s">
        <v>1048</v>
      </c>
      <c r="F251" s="28" t="s">
        <v>1049</v>
      </c>
      <c r="G251" s="28" t="s">
        <v>465</v>
      </c>
    </row>
    <row r="252" spans="1:7">
      <c r="A252" s="28">
        <v>11142</v>
      </c>
      <c r="B252" s="28" t="s">
        <v>1582</v>
      </c>
      <c r="C252" s="28" t="s">
        <v>1583</v>
      </c>
      <c r="D252" s="28" t="s">
        <v>462</v>
      </c>
      <c r="E252" s="28" t="s">
        <v>1584</v>
      </c>
      <c r="F252" s="28" t="s">
        <v>1585</v>
      </c>
      <c r="G252" s="28" t="s">
        <v>465</v>
      </c>
    </row>
    <row r="253" spans="1:7">
      <c r="A253" s="28">
        <v>11143</v>
      </c>
      <c r="B253" s="28" t="s">
        <v>1586</v>
      </c>
      <c r="C253" s="28" t="s">
        <v>1587</v>
      </c>
      <c r="D253" s="28" t="s">
        <v>462</v>
      </c>
      <c r="E253" s="28" t="s">
        <v>1588</v>
      </c>
      <c r="F253" s="28" t="s">
        <v>1589</v>
      </c>
      <c r="G253" s="28" t="s">
        <v>465</v>
      </c>
    </row>
    <row r="254" spans="1:7">
      <c r="A254" s="28">
        <v>11146</v>
      </c>
      <c r="B254" s="28" t="s">
        <v>1590</v>
      </c>
      <c r="C254" s="28" t="s">
        <v>1591</v>
      </c>
      <c r="D254" s="28" t="s">
        <v>462</v>
      </c>
      <c r="E254" s="28" t="s">
        <v>1592</v>
      </c>
      <c r="F254" s="28" t="s">
        <v>1593</v>
      </c>
      <c r="G254" s="28" t="s">
        <v>465</v>
      </c>
    </row>
    <row r="255" spans="1:7">
      <c r="A255" s="28">
        <v>11152</v>
      </c>
      <c r="B255" s="28" t="s">
        <v>1594</v>
      </c>
      <c r="C255" s="28" t="s">
        <v>1595</v>
      </c>
      <c r="D255" s="28" t="s">
        <v>462</v>
      </c>
      <c r="E255" s="28" t="s">
        <v>1596</v>
      </c>
      <c r="F255" s="28" t="s">
        <v>1597</v>
      </c>
      <c r="G255" s="28" t="s">
        <v>465</v>
      </c>
    </row>
    <row r="256" spans="1:7">
      <c r="A256" s="28">
        <v>11157</v>
      </c>
      <c r="B256" s="28" t="s">
        <v>640</v>
      </c>
      <c r="C256" s="28" t="s">
        <v>1598</v>
      </c>
      <c r="D256" s="28" t="s">
        <v>462</v>
      </c>
      <c r="E256" s="28" t="s">
        <v>1599</v>
      </c>
      <c r="F256" s="28" t="s">
        <v>1600</v>
      </c>
      <c r="G256" s="28" t="s">
        <v>465</v>
      </c>
    </row>
    <row r="257" spans="1:7">
      <c r="A257" s="28">
        <v>11159</v>
      </c>
      <c r="B257" s="28" t="s">
        <v>1601</v>
      </c>
      <c r="C257" s="28" t="s">
        <v>1602</v>
      </c>
      <c r="D257" s="28" t="s">
        <v>462</v>
      </c>
      <c r="E257" s="28" t="s">
        <v>1603</v>
      </c>
      <c r="F257" s="28" t="s">
        <v>1604</v>
      </c>
      <c r="G257" s="28" t="s">
        <v>465</v>
      </c>
    </row>
    <row r="258" spans="1:7">
      <c r="A258" s="28">
        <v>11160</v>
      </c>
      <c r="B258" s="28" t="s">
        <v>1605</v>
      </c>
      <c r="C258" s="28" t="s">
        <v>1606</v>
      </c>
      <c r="D258" s="28" t="s">
        <v>462</v>
      </c>
      <c r="E258" s="28" t="s">
        <v>1607</v>
      </c>
      <c r="F258" s="28" t="s">
        <v>1608</v>
      </c>
      <c r="G258" s="28" t="s">
        <v>465</v>
      </c>
    </row>
    <row r="259" spans="1:7">
      <c r="A259" s="28">
        <v>11161</v>
      </c>
      <c r="B259" s="28" t="s">
        <v>1609</v>
      </c>
      <c r="C259" s="28" t="s">
        <v>1610</v>
      </c>
      <c r="D259" s="28" t="s">
        <v>462</v>
      </c>
      <c r="E259" s="28" t="s">
        <v>1611</v>
      </c>
      <c r="F259" s="28" t="s">
        <v>1612</v>
      </c>
      <c r="G259" s="28" t="s">
        <v>465</v>
      </c>
    </row>
    <row r="260" spans="1:7">
      <c r="A260" s="28">
        <v>11165</v>
      </c>
      <c r="B260" s="28" t="s">
        <v>1300</v>
      </c>
      <c r="C260" s="28" t="s">
        <v>1613</v>
      </c>
      <c r="D260" s="28" t="s">
        <v>462</v>
      </c>
      <c r="E260" s="28" t="s">
        <v>1614</v>
      </c>
      <c r="F260" s="28" t="s">
        <v>1615</v>
      </c>
      <c r="G260" s="28" t="s">
        <v>465</v>
      </c>
    </row>
    <row r="261" spans="1:7">
      <c r="A261" s="28">
        <v>11175</v>
      </c>
      <c r="B261" s="28" t="s">
        <v>1616</v>
      </c>
      <c r="C261" s="28" t="s">
        <v>1617</v>
      </c>
      <c r="D261" s="28" t="s">
        <v>462</v>
      </c>
      <c r="E261" s="28" t="s">
        <v>1618</v>
      </c>
      <c r="F261" s="28" t="s">
        <v>1619</v>
      </c>
      <c r="G261" s="28" t="s">
        <v>465</v>
      </c>
    </row>
    <row r="262" spans="1:7">
      <c r="A262" s="28">
        <v>11176</v>
      </c>
      <c r="B262" s="28" t="s">
        <v>1620</v>
      </c>
      <c r="C262" s="28" t="s">
        <v>1621</v>
      </c>
      <c r="D262" s="28" t="s">
        <v>462</v>
      </c>
      <c r="E262" s="28" t="s">
        <v>1622</v>
      </c>
      <c r="F262" s="28" t="s">
        <v>1623</v>
      </c>
      <c r="G262" s="28" t="s">
        <v>465</v>
      </c>
    </row>
    <row r="263" spans="1:7">
      <c r="A263" s="28">
        <v>11177</v>
      </c>
      <c r="B263" s="28" t="s">
        <v>1528</v>
      </c>
      <c r="C263" s="28" t="s">
        <v>1553</v>
      </c>
      <c r="D263" s="28" t="s">
        <v>462</v>
      </c>
      <c r="E263" s="28" t="s">
        <v>1624</v>
      </c>
      <c r="F263" s="28" t="s">
        <v>1625</v>
      </c>
      <c r="G263" s="28" t="s">
        <v>465</v>
      </c>
    </row>
    <row r="264" spans="1:7">
      <c r="A264" s="28">
        <v>11182</v>
      </c>
      <c r="B264" s="28" t="s">
        <v>1626</v>
      </c>
      <c r="C264" s="28" t="s">
        <v>1627</v>
      </c>
      <c r="D264" s="28" t="s">
        <v>462</v>
      </c>
      <c r="E264" s="28" t="s">
        <v>1628</v>
      </c>
      <c r="F264" s="28" t="s">
        <v>1629</v>
      </c>
      <c r="G264" s="28" t="s">
        <v>465</v>
      </c>
    </row>
    <row r="265" spans="1:7">
      <c r="A265" s="28">
        <v>11183</v>
      </c>
      <c r="B265" s="28" t="s">
        <v>984</v>
      </c>
      <c r="C265" s="28" t="s">
        <v>1630</v>
      </c>
      <c r="D265" s="28" t="s">
        <v>462</v>
      </c>
      <c r="E265" s="28" t="s">
        <v>1631</v>
      </c>
      <c r="F265" s="28" t="s">
        <v>1632</v>
      </c>
      <c r="G265" s="28" t="s">
        <v>465</v>
      </c>
    </row>
    <row r="266" spans="1:7">
      <c r="A266" s="28">
        <v>11184</v>
      </c>
      <c r="B266" s="28" t="s">
        <v>1633</v>
      </c>
      <c r="C266" s="28" t="s">
        <v>1293</v>
      </c>
      <c r="D266" s="28" t="s">
        <v>462</v>
      </c>
      <c r="E266" s="28" t="s">
        <v>1634</v>
      </c>
      <c r="F266" s="28" t="s">
        <v>1635</v>
      </c>
      <c r="G266" s="28" t="s">
        <v>465</v>
      </c>
    </row>
    <row r="267" spans="1:7">
      <c r="A267" s="28">
        <v>11185</v>
      </c>
      <c r="B267" s="28" t="s">
        <v>1636</v>
      </c>
      <c r="C267" s="28" t="s">
        <v>1637</v>
      </c>
      <c r="D267" s="28" t="s">
        <v>462</v>
      </c>
      <c r="E267" s="28" t="s">
        <v>1638</v>
      </c>
      <c r="F267" s="28" t="s">
        <v>1639</v>
      </c>
      <c r="G267" s="28" t="s">
        <v>465</v>
      </c>
    </row>
    <row r="268" spans="1:7">
      <c r="A268" s="28">
        <v>11187</v>
      </c>
      <c r="B268" s="28" t="s">
        <v>1640</v>
      </c>
      <c r="C268" s="28" t="s">
        <v>1641</v>
      </c>
      <c r="D268" s="28" t="s">
        <v>462</v>
      </c>
      <c r="E268" s="28" t="s">
        <v>1642</v>
      </c>
      <c r="F268" s="28" t="s">
        <v>1643</v>
      </c>
      <c r="G268" s="28" t="s">
        <v>465</v>
      </c>
    </row>
    <row r="269" spans="1:7">
      <c r="A269" s="28">
        <v>11190</v>
      </c>
      <c r="B269" s="28" t="s">
        <v>1433</v>
      </c>
      <c r="C269" s="28" t="s">
        <v>1644</v>
      </c>
      <c r="D269" s="28" t="s">
        <v>462</v>
      </c>
      <c r="E269" s="28" t="s">
        <v>1645</v>
      </c>
      <c r="F269" s="28" t="s">
        <v>1646</v>
      </c>
      <c r="G269" s="28" t="s">
        <v>465</v>
      </c>
    </row>
    <row r="270" spans="1:7">
      <c r="A270" s="28">
        <v>11195</v>
      </c>
      <c r="B270" s="28" t="s">
        <v>1647</v>
      </c>
      <c r="C270" s="28" t="s">
        <v>1648</v>
      </c>
      <c r="D270" s="28" t="s">
        <v>462</v>
      </c>
      <c r="E270" s="28" t="s">
        <v>1649</v>
      </c>
      <c r="F270" s="28" t="s">
        <v>1650</v>
      </c>
      <c r="G270" s="28" t="s">
        <v>465</v>
      </c>
    </row>
    <row r="271" spans="1:7">
      <c r="A271" s="28">
        <v>11201</v>
      </c>
      <c r="B271" s="28" t="s">
        <v>1007</v>
      </c>
      <c r="C271" s="28" t="s">
        <v>1651</v>
      </c>
      <c r="D271" s="28" t="s">
        <v>462</v>
      </c>
      <c r="E271" s="28" t="s">
        <v>1652</v>
      </c>
      <c r="F271" s="28" t="s">
        <v>1653</v>
      </c>
      <c r="G271" s="28" t="s">
        <v>465</v>
      </c>
    </row>
    <row r="272" spans="1:7">
      <c r="A272" s="28">
        <v>11212</v>
      </c>
      <c r="B272" s="28" t="s">
        <v>1654</v>
      </c>
      <c r="C272" s="28" t="s">
        <v>1655</v>
      </c>
      <c r="D272" s="28" t="s">
        <v>462</v>
      </c>
      <c r="E272" s="28" t="s">
        <v>1656</v>
      </c>
      <c r="F272" s="28" t="s">
        <v>1657</v>
      </c>
      <c r="G272" s="28" t="s">
        <v>465</v>
      </c>
    </row>
    <row r="273" spans="1:7">
      <c r="A273" s="28">
        <v>11222</v>
      </c>
      <c r="B273" s="28" t="s">
        <v>1310</v>
      </c>
      <c r="C273" s="28" t="s">
        <v>461</v>
      </c>
      <c r="D273" s="28" t="s">
        <v>462</v>
      </c>
      <c r="E273" s="28" t="s">
        <v>1658</v>
      </c>
      <c r="F273" s="28" t="s">
        <v>1659</v>
      </c>
      <c r="G273" s="28" t="s">
        <v>465</v>
      </c>
    </row>
    <row r="274" spans="1:7">
      <c r="A274" s="28">
        <v>11228</v>
      </c>
      <c r="B274" s="28" t="s">
        <v>640</v>
      </c>
      <c r="C274" s="28" t="s">
        <v>1660</v>
      </c>
      <c r="D274" s="28" t="s">
        <v>462</v>
      </c>
      <c r="E274" s="28" t="s">
        <v>1661</v>
      </c>
      <c r="F274" s="28" t="s">
        <v>1662</v>
      </c>
      <c r="G274" s="28" t="s">
        <v>465</v>
      </c>
    </row>
    <row r="275" spans="1:7">
      <c r="A275" s="28">
        <v>11233</v>
      </c>
      <c r="B275" s="28" t="s">
        <v>1663</v>
      </c>
      <c r="C275" s="28" t="s">
        <v>1664</v>
      </c>
      <c r="D275" s="28" t="s">
        <v>462</v>
      </c>
      <c r="E275" s="28" t="s">
        <v>1665</v>
      </c>
      <c r="F275" s="28" t="s">
        <v>1666</v>
      </c>
      <c r="G275" s="28" t="s">
        <v>465</v>
      </c>
    </row>
    <row r="276" spans="1:7">
      <c r="A276" s="28">
        <v>11239</v>
      </c>
      <c r="B276" s="28" t="s">
        <v>1667</v>
      </c>
      <c r="C276" s="28" t="s">
        <v>1668</v>
      </c>
      <c r="D276" s="28" t="s">
        <v>462</v>
      </c>
      <c r="E276" s="28" t="s">
        <v>1669</v>
      </c>
      <c r="F276" s="28" t="s">
        <v>1670</v>
      </c>
      <c r="G276" s="28" t="s">
        <v>465</v>
      </c>
    </row>
    <row r="277" spans="1:7">
      <c r="A277" s="28">
        <v>11240</v>
      </c>
      <c r="B277" s="28" t="s">
        <v>1310</v>
      </c>
      <c r="C277" s="28" t="s">
        <v>1671</v>
      </c>
      <c r="D277" s="28" t="s">
        <v>462</v>
      </c>
      <c r="E277" s="28" t="s">
        <v>1672</v>
      </c>
      <c r="F277" s="28" t="s">
        <v>1673</v>
      </c>
      <c r="G277" s="28" t="s">
        <v>465</v>
      </c>
    </row>
    <row r="278" spans="1:7">
      <c r="A278" s="28">
        <v>11241</v>
      </c>
      <c r="B278" s="28" t="s">
        <v>1674</v>
      </c>
      <c r="C278" s="28" t="s">
        <v>1675</v>
      </c>
      <c r="D278" s="28" t="s">
        <v>462</v>
      </c>
      <c r="E278" s="28" t="s">
        <v>1676</v>
      </c>
      <c r="F278" s="28" t="s">
        <v>1677</v>
      </c>
      <c r="G278" s="28" t="s">
        <v>465</v>
      </c>
    </row>
    <row r="279" spans="1:7">
      <c r="A279" s="28">
        <v>11244</v>
      </c>
      <c r="B279" s="28" t="s">
        <v>941</v>
      </c>
      <c r="C279" s="28" t="s">
        <v>1678</v>
      </c>
      <c r="D279" s="28" t="s">
        <v>462</v>
      </c>
      <c r="E279" s="28" t="s">
        <v>1679</v>
      </c>
      <c r="F279" s="28" t="s">
        <v>1680</v>
      </c>
      <c r="G279" s="28" t="s">
        <v>465</v>
      </c>
    </row>
    <row r="280" spans="1:7">
      <c r="A280" s="28">
        <v>11246</v>
      </c>
      <c r="B280" s="28" t="s">
        <v>909</v>
      </c>
      <c r="C280" s="28" t="s">
        <v>1681</v>
      </c>
      <c r="D280" s="28" t="s">
        <v>462</v>
      </c>
      <c r="E280" s="28" t="s">
        <v>1682</v>
      </c>
      <c r="F280" s="28" t="s">
        <v>1683</v>
      </c>
      <c r="G280" s="28" t="s">
        <v>465</v>
      </c>
    </row>
    <row r="281" spans="1:7">
      <c r="A281" s="28">
        <v>11251</v>
      </c>
      <c r="B281" s="28" t="s">
        <v>1684</v>
      </c>
      <c r="C281" s="28" t="s">
        <v>1685</v>
      </c>
      <c r="D281" s="28" t="s">
        <v>462</v>
      </c>
      <c r="E281" s="28" t="s">
        <v>1686</v>
      </c>
      <c r="F281" s="28" t="s">
        <v>1687</v>
      </c>
      <c r="G281" s="28" t="s">
        <v>465</v>
      </c>
    </row>
    <row r="282" spans="1:7">
      <c r="A282" s="28">
        <v>11258</v>
      </c>
      <c r="B282" s="28" t="s">
        <v>1688</v>
      </c>
      <c r="C282" s="28" t="s">
        <v>1689</v>
      </c>
      <c r="D282" s="28" t="s">
        <v>462</v>
      </c>
      <c r="E282" s="28" t="s">
        <v>1690</v>
      </c>
      <c r="F282" s="28" t="s">
        <v>1691</v>
      </c>
      <c r="G282" s="28" t="s">
        <v>465</v>
      </c>
    </row>
    <row r="283" spans="1:7">
      <c r="A283" s="28">
        <v>11271</v>
      </c>
      <c r="B283" s="28" t="s">
        <v>1692</v>
      </c>
      <c r="C283" s="28" t="s">
        <v>1693</v>
      </c>
      <c r="D283" s="28" t="s">
        <v>462</v>
      </c>
      <c r="E283" s="28" t="s">
        <v>1694</v>
      </c>
      <c r="F283" s="28" t="s">
        <v>1695</v>
      </c>
      <c r="G283" s="28" t="s">
        <v>465</v>
      </c>
    </row>
    <row r="284" spans="1:7">
      <c r="A284" s="28">
        <v>11272</v>
      </c>
      <c r="B284" s="28" t="s">
        <v>1508</v>
      </c>
      <c r="C284" s="28" t="s">
        <v>1696</v>
      </c>
      <c r="D284" s="28" t="s">
        <v>462</v>
      </c>
      <c r="E284" s="28" t="s">
        <v>1697</v>
      </c>
      <c r="F284" s="28" t="s">
        <v>1698</v>
      </c>
      <c r="G284" s="28" t="s">
        <v>465</v>
      </c>
    </row>
    <row r="285" spans="1:7">
      <c r="A285" s="28">
        <v>11278</v>
      </c>
      <c r="B285" s="28" t="s">
        <v>1387</v>
      </c>
      <c r="C285" s="28" t="s">
        <v>1699</v>
      </c>
      <c r="D285" s="28" t="s">
        <v>462</v>
      </c>
      <c r="E285" s="28" t="s">
        <v>1700</v>
      </c>
      <c r="F285" s="28" t="s">
        <v>1701</v>
      </c>
      <c r="G285" s="28" t="s">
        <v>465</v>
      </c>
    </row>
    <row r="286" spans="1:7">
      <c r="A286" s="28">
        <v>11280</v>
      </c>
      <c r="B286" s="28" t="s">
        <v>1702</v>
      </c>
      <c r="C286" s="28" t="s">
        <v>1703</v>
      </c>
      <c r="D286" s="28" t="s">
        <v>462</v>
      </c>
      <c r="E286" s="28" t="s">
        <v>1704</v>
      </c>
      <c r="F286" s="28" t="s">
        <v>1705</v>
      </c>
      <c r="G286" s="28" t="s">
        <v>465</v>
      </c>
    </row>
    <row r="287" spans="1:7">
      <c r="A287" s="28">
        <v>11285</v>
      </c>
      <c r="B287" s="28" t="s">
        <v>645</v>
      </c>
      <c r="C287" s="28" t="s">
        <v>1706</v>
      </c>
      <c r="D287" s="28" t="s">
        <v>462</v>
      </c>
      <c r="E287" s="28" t="s">
        <v>1707</v>
      </c>
      <c r="F287" s="28" t="s">
        <v>1708</v>
      </c>
      <c r="G287" s="28" t="s">
        <v>465</v>
      </c>
    </row>
    <row r="288" spans="1:7">
      <c r="A288" s="28">
        <v>11288</v>
      </c>
      <c r="B288" s="28" t="s">
        <v>665</v>
      </c>
      <c r="C288" s="28" t="s">
        <v>1709</v>
      </c>
      <c r="D288" s="28" t="s">
        <v>462</v>
      </c>
      <c r="E288" s="28" t="s">
        <v>1710</v>
      </c>
      <c r="F288" s="28" t="s">
        <v>1711</v>
      </c>
      <c r="G288" s="28" t="s">
        <v>465</v>
      </c>
    </row>
    <row r="289" spans="1:7">
      <c r="A289" s="28">
        <v>11292</v>
      </c>
      <c r="B289" s="28" t="s">
        <v>1557</v>
      </c>
      <c r="C289" s="28" t="s">
        <v>1712</v>
      </c>
      <c r="D289" s="28" t="s">
        <v>462</v>
      </c>
      <c r="E289" s="28" t="s">
        <v>1713</v>
      </c>
      <c r="F289" s="28" t="s">
        <v>1714</v>
      </c>
      <c r="G289" s="28" t="s">
        <v>465</v>
      </c>
    </row>
    <row r="290" spans="1:7">
      <c r="A290" s="28">
        <v>11295</v>
      </c>
      <c r="B290" s="28" t="s">
        <v>1715</v>
      </c>
      <c r="C290" s="28" t="s">
        <v>1716</v>
      </c>
      <c r="D290" s="28" t="s">
        <v>462</v>
      </c>
      <c r="E290" s="28" t="s">
        <v>1717</v>
      </c>
      <c r="F290" s="28" t="s">
        <v>1718</v>
      </c>
      <c r="G290" s="28" t="s">
        <v>465</v>
      </c>
    </row>
    <row r="291" spans="1:7">
      <c r="A291" s="28">
        <v>11311</v>
      </c>
      <c r="B291" s="28" t="s">
        <v>1719</v>
      </c>
      <c r="C291" s="28" t="s">
        <v>1720</v>
      </c>
      <c r="D291" s="28" t="s">
        <v>462</v>
      </c>
      <c r="E291" s="28" t="s">
        <v>1721</v>
      </c>
      <c r="F291" s="28" t="s">
        <v>1722</v>
      </c>
      <c r="G291" s="28" t="s">
        <v>465</v>
      </c>
    </row>
    <row r="292" spans="1:7">
      <c r="A292" s="28">
        <v>11312</v>
      </c>
      <c r="B292" s="28" t="s">
        <v>1723</v>
      </c>
      <c r="C292" s="28" t="s">
        <v>1724</v>
      </c>
      <c r="D292" s="28" t="s">
        <v>462</v>
      </c>
      <c r="E292" s="28" t="s">
        <v>1725</v>
      </c>
      <c r="F292" s="28" t="s">
        <v>1726</v>
      </c>
      <c r="G292" s="28" t="s">
        <v>465</v>
      </c>
    </row>
    <row r="293" spans="1:7">
      <c r="A293" s="28">
        <v>11314</v>
      </c>
      <c r="B293" s="28" t="s">
        <v>1727</v>
      </c>
      <c r="C293" s="28" t="s">
        <v>1728</v>
      </c>
      <c r="D293" s="28" t="s">
        <v>462</v>
      </c>
      <c r="E293" s="28" t="s">
        <v>1729</v>
      </c>
      <c r="F293" s="28" t="s">
        <v>1730</v>
      </c>
      <c r="G293" s="28" t="s">
        <v>465</v>
      </c>
    </row>
    <row r="294" spans="1:7">
      <c r="A294" s="28">
        <v>11315</v>
      </c>
      <c r="B294" s="28" t="s">
        <v>1731</v>
      </c>
      <c r="C294" s="28" t="s">
        <v>1467</v>
      </c>
      <c r="D294" s="28" t="s">
        <v>462</v>
      </c>
      <c r="E294" s="28" t="s">
        <v>1732</v>
      </c>
      <c r="F294" s="28" t="s">
        <v>1733</v>
      </c>
      <c r="G294" s="28" t="s">
        <v>465</v>
      </c>
    </row>
    <row r="295" spans="1:7">
      <c r="A295" s="28">
        <v>11317</v>
      </c>
      <c r="B295" s="28" t="s">
        <v>1470</v>
      </c>
      <c r="C295" s="28" t="s">
        <v>1734</v>
      </c>
      <c r="D295" s="28" t="s">
        <v>462</v>
      </c>
      <c r="E295" s="28" t="s">
        <v>1735</v>
      </c>
      <c r="F295" s="28" t="s">
        <v>1736</v>
      </c>
      <c r="G295" s="28" t="s">
        <v>465</v>
      </c>
    </row>
    <row r="296" spans="1:7">
      <c r="A296" s="28">
        <v>11322</v>
      </c>
      <c r="B296" s="28" t="s">
        <v>850</v>
      </c>
      <c r="C296" s="28" t="s">
        <v>1737</v>
      </c>
      <c r="D296" s="28" t="s">
        <v>462</v>
      </c>
      <c r="E296" s="28" t="s">
        <v>1738</v>
      </c>
      <c r="F296" s="28" t="s">
        <v>1739</v>
      </c>
      <c r="G296" s="28" t="s">
        <v>465</v>
      </c>
    </row>
    <row r="297" spans="1:7">
      <c r="A297" s="28">
        <v>11323</v>
      </c>
      <c r="B297" s="28" t="s">
        <v>1740</v>
      </c>
      <c r="C297" s="28" t="s">
        <v>1741</v>
      </c>
      <c r="D297" s="28" t="s">
        <v>462</v>
      </c>
      <c r="E297" s="28" t="s">
        <v>1742</v>
      </c>
      <c r="F297" s="28" t="s">
        <v>1743</v>
      </c>
      <c r="G297" s="28" t="s">
        <v>465</v>
      </c>
    </row>
    <row r="298" spans="1:7">
      <c r="A298" s="28">
        <v>11324</v>
      </c>
      <c r="B298" s="28" t="s">
        <v>1744</v>
      </c>
      <c r="C298" s="28" t="s">
        <v>1745</v>
      </c>
      <c r="D298" s="28" t="s">
        <v>462</v>
      </c>
      <c r="E298" s="28" t="s">
        <v>1746</v>
      </c>
      <c r="F298" s="28" t="s">
        <v>1747</v>
      </c>
      <c r="G298" s="28" t="s">
        <v>465</v>
      </c>
    </row>
    <row r="299" spans="1:7">
      <c r="A299" s="28">
        <v>11327</v>
      </c>
      <c r="B299" s="28" t="s">
        <v>1748</v>
      </c>
      <c r="C299" s="28" t="s">
        <v>1749</v>
      </c>
      <c r="D299" s="28" t="s">
        <v>462</v>
      </c>
      <c r="E299" s="28" t="s">
        <v>1750</v>
      </c>
      <c r="F299" s="28" t="s">
        <v>1751</v>
      </c>
      <c r="G299" s="28" t="s">
        <v>465</v>
      </c>
    </row>
    <row r="300" spans="1:7">
      <c r="A300" s="28">
        <v>11337</v>
      </c>
      <c r="B300" s="28" t="s">
        <v>1752</v>
      </c>
      <c r="C300" s="28" t="s">
        <v>1753</v>
      </c>
      <c r="D300" s="28" t="s">
        <v>462</v>
      </c>
      <c r="E300" s="28" t="s">
        <v>1754</v>
      </c>
      <c r="F300" s="28" t="s">
        <v>1755</v>
      </c>
      <c r="G300" s="28" t="s">
        <v>465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2DE0-7274-477E-BEBE-348BF9A3E3CA}">
  <dimension ref="A1:B12"/>
  <sheetViews>
    <sheetView workbookViewId="0">
      <selection activeCell="K19" sqref="K19"/>
    </sheetView>
  </sheetViews>
  <sheetFormatPr defaultRowHeight="14.45"/>
  <cols>
    <col min="1" max="2" width="15.42578125" customWidth="1"/>
  </cols>
  <sheetData>
    <row r="1" spans="1:2">
      <c r="A1" t="s">
        <v>141</v>
      </c>
      <c r="B1" t="s">
        <v>145</v>
      </c>
    </row>
    <row r="2" spans="1:2">
      <c r="A2">
        <v>72</v>
      </c>
      <c r="B2" t="s">
        <v>319</v>
      </c>
    </row>
    <row r="3" spans="1:2">
      <c r="A3">
        <v>72</v>
      </c>
      <c r="B3" t="s">
        <v>319</v>
      </c>
    </row>
    <row r="4" spans="1:2">
      <c r="A4">
        <v>72</v>
      </c>
      <c r="B4" t="s">
        <v>319</v>
      </c>
    </row>
    <row r="5" spans="1:2">
      <c r="A5">
        <v>72</v>
      </c>
      <c r="B5" t="s">
        <v>319</v>
      </c>
    </row>
    <row r="6" spans="1:2">
      <c r="A6">
        <v>72</v>
      </c>
      <c r="B6" t="s">
        <v>319</v>
      </c>
    </row>
    <row r="7" spans="1:2">
      <c r="A7">
        <v>72</v>
      </c>
      <c r="B7" t="s">
        <v>319</v>
      </c>
    </row>
    <row r="8" spans="1:2">
      <c r="A8">
        <v>72</v>
      </c>
      <c r="B8" t="s">
        <v>319</v>
      </c>
    </row>
    <row r="9" spans="1:2">
      <c r="A9">
        <v>72</v>
      </c>
      <c r="B9" t="s">
        <v>319</v>
      </c>
    </row>
    <row r="10" spans="1:2">
      <c r="A10">
        <v>72</v>
      </c>
      <c r="B10" t="s">
        <v>319</v>
      </c>
    </row>
    <row r="11" spans="1:2">
      <c r="A11">
        <v>72</v>
      </c>
      <c r="B11" t="s">
        <v>319</v>
      </c>
    </row>
    <row r="12" spans="1:2">
      <c r="A12">
        <v>72</v>
      </c>
      <c r="B12" t="s">
        <v>319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9EFD-8B09-4C0F-807D-612F21B5E20C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2024-05-02T12:10:18Z</dcterms:created>
  <dcterms:modified xsi:type="dcterms:W3CDTF">2025-12-04T13:58:27Z</dcterms:modified>
  <cp:category/>
  <cp:contentStatus/>
</cp:coreProperties>
</file>